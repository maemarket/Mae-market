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/>
  <workbookPr/>
  <mc:AlternateContent xmlns:mc="http://schemas.openxmlformats.org/markup-compatibility/2006">
    <mc:Choice Requires="x15">
      <x15ac:absPath xmlns:x15ac="http://schemas.microsoft.com/office/spreadsheetml/2010/11/ac" url="https://d.docs.live.net/ef7188d006302e50/Escritorio/PROYECTO MAE MARKET- 26 ABRIL/Primer Trimestre/"/>
    </mc:Choice>
  </mc:AlternateContent>
  <xr:revisionPtr revIDLastSave="288" documentId="11_829A71AFF2370E040950AC888978DEF034CDC483" xr6:coauthVersionLast="47" xr6:coauthVersionMax="47" xr10:uidLastSave="{02A72F4F-21A5-408E-AEB8-108EC3D037AD}"/>
  <bookViews>
    <workbookView xWindow="2595" yWindow="2595" windowWidth="21600" windowHeight="11385" firstSheet="4" activeTab="6" xr2:uid="{00000000-000D-0000-FFFF-FFFF00000000}"/>
  </bookViews>
  <sheets>
    <sheet name="Productos" sheetId="1" r:id="rId1"/>
    <sheet name=" Entradas" sheetId="3" r:id="rId2"/>
    <sheet name="Salidas" sheetId="2" r:id="rId3"/>
    <sheet name="Categorias" sheetId="4" r:id="rId4"/>
    <sheet name="CLIENTES" sheetId="5" r:id="rId5"/>
    <sheet name="VENDEDOR" sheetId="8" r:id="rId6"/>
    <sheet name="COTIZACION" sheetId="7" r:id="rId7"/>
    <sheet name="Tabla sin normalizar " sheetId="9" r:id="rId8"/>
    <sheet name="1 FN" sheetId="10" r:id="rId9"/>
    <sheet name="2 FN" sheetId="11" r:id="rId10"/>
    <sheet name="3FN_" sheetId="16" r:id="rId11"/>
    <sheet name="MR" sheetId="17" r:id="rId12"/>
    <sheet name="ID-NOID." sheetId="18" r:id="rId13"/>
  </sheets>
  <definedNames>
    <definedName name="IDCLIENTES">CLIENTES!$A:$A</definedName>
    <definedName name="IDPRODUCTO">Productos[Cod_producto]</definedName>
    <definedName name="IDVENDEDOR">Tabla6[[#All],[Documento]]</definedName>
    <definedName name="TABLACLIENTES">Tabla2[#All]</definedName>
    <definedName name="TABLAPRODUCTO">Productos[#All]</definedName>
    <definedName name="TABLAVENDEDOR">Tabla6[]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6" i="7" l="1"/>
  <c r="B17" i="16"/>
  <c r="B16" i="16"/>
  <c r="B15" i="16"/>
  <c r="B14" i="16"/>
  <c r="B13" i="16"/>
  <c r="B12" i="16"/>
  <c r="B11" i="16"/>
  <c r="B10" i="16"/>
  <c r="B9" i="16"/>
  <c r="B8" i="16"/>
  <c r="B18" i="11"/>
  <c r="B17" i="11"/>
  <c r="B16" i="11"/>
  <c r="B15" i="11"/>
  <c r="B14" i="11"/>
  <c r="B13" i="11"/>
  <c r="B12" i="11"/>
  <c r="B11" i="11"/>
  <c r="B10" i="11"/>
  <c r="B9" i="11"/>
  <c r="J4" i="10" l="1"/>
  <c r="J5" i="10"/>
  <c r="J6" i="10"/>
  <c r="J7" i="10"/>
  <c r="J8" i="10"/>
  <c r="J9" i="10"/>
  <c r="J10" i="10"/>
  <c r="J11" i="10"/>
  <c r="J12" i="10"/>
  <c r="J3" i="10"/>
  <c r="F4" i="9"/>
  <c r="B7" i="7"/>
  <c r="D12" i="7"/>
  <c r="D13" i="7"/>
  <c r="D14" i="7"/>
  <c r="D15" i="7"/>
  <c r="D17" i="7"/>
  <c r="D18" i="7"/>
  <c r="D19" i="7"/>
  <c r="D20" i="7"/>
  <c r="F24" i="7"/>
  <c r="F12" i="7"/>
  <c r="G12" i="7" s="1"/>
  <c r="F13" i="7"/>
  <c r="G13" i="7" s="1"/>
  <c r="F14" i="7"/>
  <c r="G14" i="7" s="1"/>
  <c r="F15" i="7"/>
  <c r="G15" i="7" s="1"/>
  <c r="F16" i="7"/>
  <c r="G16" i="7" s="1"/>
  <c r="F17" i="7"/>
  <c r="G17" i="7" s="1"/>
  <c r="F18" i="7"/>
  <c r="G18" i="7" s="1"/>
  <c r="F19" i="7"/>
  <c r="G19" i="7" s="1"/>
  <c r="F20" i="7"/>
  <c r="G20" i="7" s="1"/>
  <c r="F11" i="7"/>
  <c r="G11" i="7" s="1"/>
  <c r="C12" i="7"/>
  <c r="C13" i="7"/>
  <c r="C14" i="7"/>
  <c r="C15" i="7"/>
  <c r="C16" i="7"/>
  <c r="C17" i="7"/>
  <c r="C18" i="7"/>
  <c r="C19" i="7"/>
  <c r="C20" i="7"/>
  <c r="D11" i="7"/>
  <c r="C11" i="7"/>
  <c r="E9" i="7"/>
  <c r="B9" i="7"/>
  <c r="B8" i="7"/>
  <c r="F6" i="7"/>
  <c r="G21" i="7" l="1"/>
  <c r="G22" i="7" s="1"/>
  <c r="G23" i="7" l="1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F12" i="1" l="1"/>
  <c r="E9" i="2"/>
  <c r="C9" i="2"/>
  <c r="E8" i="2"/>
  <c r="C29" i="3"/>
  <c r="C9" i="3" l="1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8" i="3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F10" i="1"/>
  <c r="F11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H27" i="1" s="1"/>
  <c r="F28" i="1"/>
  <c r="F29" i="1"/>
  <c r="F30" i="1"/>
  <c r="H29" i="1" l="1"/>
  <c r="H25" i="1"/>
  <c r="H23" i="1"/>
  <c r="H21" i="1"/>
  <c r="H19" i="1"/>
  <c r="H17" i="1"/>
  <c r="H15" i="1"/>
  <c r="H13" i="1"/>
  <c r="H11" i="1"/>
  <c r="H30" i="1"/>
  <c r="H28" i="1"/>
  <c r="H26" i="1"/>
  <c r="H24" i="1"/>
  <c r="H22" i="1"/>
  <c r="H20" i="1"/>
  <c r="H18" i="1"/>
  <c r="H16" i="1"/>
  <c r="H14" i="1"/>
  <c r="H12" i="1"/>
  <c r="H10" i="1"/>
</calcChain>
</file>

<file path=xl/sharedStrings.xml><?xml version="1.0" encoding="utf-8"?>
<sst xmlns="http://schemas.openxmlformats.org/spreadsheetml/2006/main" count="792" uniqueCount="304">
  <si>
    <t>Cod_producto</t>
  </si>
  <si>
    <t>Descripción</t>
  </si>
  <si>
    <t>Entradas</t>
  </si>
  <si>
    <t>Salidas</t>
  </si>
  <si>
    <t>Stock</t>
  </si>
  <si>
    <t xml:space="preserve">INVENTARIO DE PRODUCTOS - MAE MARKET </t>
  </si>
  <si>
    <t>Detergente</t>
  </si>
  <si>
    <t>Jabon</t>
  </si>
  <si>
    <t>Toallas</t>
  </si>
  <si>
    <t>Arroz</t>
  </si>
  <si>
    <t>Azucar</t>
  </si>
  <si>
    <t>Lenteja</t>
  </si>
  <si>
    <t>Papel Higienico</t>
  </si>
  <si>
    <t>Sal</t>
  </si>
  <si>
    <t>Pasta</t>
  </si>
  <si>
    <t>Harina</t>
  </si>
  <si>
    <t>Atun</t>
  </si>
  <si>
    <t>Aceite</t>
  </si>
  <si>
    <t>Gaseosa</t>
  </si>
  <si>
    <t>Paquete de papas</t>
  </si>
  <si>
    <t>Yogurt</t>
  </si>
  <si>
    <t>Gelatina</t>
  </si>
  <si>
    <t>Jugo</t>
  </si>
  <si>
    <t>Leche</t>
  </si>
  <si>
    <t>Huevo</t>
  </si>
  <si>
    <t>Crema de dientes</t>
  </si>
  <si>
    <t>PRO_2101</t>
  </si>
  <si>
    <t>PRO_2102</t>
  </si>
  <si>
    <t>PRO_2103</t>
  </si>
  <si>
    <t>PRO_2104</t>
  </si>
  <si>
    <t>PRO_2105</t>
  </si>
  <si>
    <t>PRO_2106</t>
  </si>
  <si>
    <t>PRO_2107</t>
  </si>
  <si>
    <t>PRO_2108</t>
  </si>
  <si>
    <t>PRO_2109</t>
  </si>
  <si>
    <t>PRO_2110</t>
  </si>
  <si>
    <t>PRO_2111</t>
  </si>
  <si>
    <t>PRO_2112</t>
  </si>
  <si>
    <t>PRO_2113</t>
  </si>
  <si>
    <t>PRO_2114</t>
  </si>
  <si>
    <t>PRO_2115</t>
  </si>
  <si>
    <t>PRO_2116</t>
  </si>
  <si>
    <t>PRO_2117</t>
  </si>
  <si>
    <t>PRO_2118</t>
  </si>
  <si>
    <t>PRO_2119</t>
  </si>
  <si>
    <t>PRO_2120</t>
  </si>
  <si>
    <t>PRO_2121</t>
  </si>
  <si>
    <t>N° Factura</t>
  </si>
  <si>
    <t>Fecha</t>
  </si>
  <si>
    <t>Cantidad</t>
  </si>
  <si>
    <t xml:space="preserve">ENTRADA DE PRODUCTOS </t>
  </si>
  <si>
    <t xml:space="preserve">SALIDA DE PRODUCTOS </t>
  </si>
  <si>
    <t>FAC_1</t>
  </si>
  <si>
    <t>FAC_2</t>
  </si>
  <si>
    <t>FAC_3</t>
  </si>
  <si>
    <t>FAC_4</t>
  </si>
  <si>
    <t>FAC_5</t>
  </si>
  <si>
    <t>FAC_6</t>
  </si>
  <si>
    <t>FAC_7</t>
  </si>
  <si>
    <t>FAC_8</t>
  </si>
  <si>
    <t>FAC_9</t>
  </si>
  <si>
    <t>FAC_10</t>
  </si>
  <si>
    <t>FAC_11</t>
  </si>
  <si>
    <t>FAC_12</t>
  </si>
  <si>
    <t>FAC_13</t>
  </si>
  <si>
    <t>FAC_14</t>
  </si>
  <si>
    <t>FAC_15</t>
  </si>
  <si>
    <t>FAC_16</t>
  </si>
  <si>
    <t>FAC_17</t>
  </si>
  <si>
    <t>FAC_18</t>
  </si>
  <si>
    <t>FAC_19</t>
  </si>
  <si>
    <t>FAC_20</t>
  </si>
  <si>
    <t>FAC_21</t>
  </si>
  <si>
    <t>Categoria</t>
  </si>
  <si>
    <t>Cartegorias de Productos</t>
  </si>
  <si>
    <t>Granos</t>
  </si>
  <si>
    <t>Huevos, Lácteos y Café.</t>
  </si>
  <si>
    <t>Aceite, Pasta y Legumbres</t>
  </si>
  <si>
    <t>Conservas y Comida Preparada</t>
  </si>
  <si>
    <t>Zumos y Bebidas</t>
  </si>
  <si>
    <t>Cosmética y Cuidado Personal</t>
  </si>
  <si>
    <t>Hogar y Limpieza</t>
  </si>
  <si>
    <t>Cereales </t>
  </si>
  <si>
    <t xml:space="preserve">Salsas </t>
  </si>
  <si>
    <t>ID</t>
  </si>
  <si>
    <t>NOMBRES</t>
  </si>
  <si>
    <t>APELLIDOS</t>
  </si>
  <si>
    <t>TELEFONO</t>
  </si>
  <si>
    <t xml:space="preserve">DIRRECION </t>
  </si>
  <si>
    <t>EMAIL</t>
  </si>
  <si>
    <t>Andres Felipe</t>
  </si>
  <si>
    <t>Orjuela</t>
  </si>
  <si>
    <t>Calle 95 Sur #5G 12 Este</t>
  </si>
  <si>
    <t>aforjuela11@misena.edu.co</t>
  </si>
  <si>
    <t xml:space="preserve">Samuel Esteban </t>
  </si>
  <si>
    <t>Castaño Gonzalez</t>
  </si>
  <si>
    <t xml:space="preserve">Calle 152 A # 99 - 60 </t>
  </si>
  <si>
    <t>samicasta11@gmail.com</t>
  </si>
  <si>
    <t>Monroy Moreno</t>
  </si>
  <si>
    <t>Diagonal 74 Sur # 78 i 39</t>
  </si>
  <si>
    <t>afmonroy34@misena.edu.co</t>
  </si>
  <si>
    <t xml:space="preserve">Juan David </t>
  </si>
  <si>
    <t xml:space="preserve">Camargo Useche </t>
  </si>
  <si>
    <t>Calle 4 A # 93 Sur 34</t>
  </si>
  <si>
    <t>jdcamargo853@misena.edu.co</t>
  </si>
  <si>
    <t xml:space="preserve">Heelen Lizeth </t>
  </si>
  <si>
    <t xml:space="preserve">Cano Moreno </t>
  </si>
  <si>
    <t xml:space="preserve">Calle 78 # 78- 71 Sur </t>
  </si>
  <si>
    <t>hlcano76@misena.edu.co</t>
  </si>
  <si>
    <t xml:space="preserve">Maria Paula </t>
  </si>
  <si>
    <t>Patino Aparicio</t>
  </si>
  <si>
    <t>Calle 130 d Bis #99 - 27</t>
  </si>
  <si>
    <t>mapu302929@gmail.com</t>
  </si>
  <si>
    <t>Posada Restrepo</t>
  </si>
  <si>
    <t>Yasmin Lucia</t>
  </si>
  <si>
    <t>Moreno Suarez</t>
  </si>
  <si>
    <t>Calle 104 # 5 - 62 Sur</t>
  </si>
  <si>
    <t>ylmoreno243@misena.edu.co</t>
  </si>
  <si>
    <t>Camilo Andres</t>
  </si>
  <si>
    <t>Osorio Colmenares</t>
  </si>
  <si>
    <t>Calle 130 # 94 - 08</t>
  </si>
  <si>
    <t>Camiloandresosoriocolmenares@gmail.com</t>
  </si>
  <si>
    <t>Esteban David</t>
  </si>
  <si>
    <t>Jenifer Carolina</t>
  </si>
  <si>
    <t>Russi Benavides</t>
  </si>
  <si>
    <t>Calle 79 Sur # 3 - 5</t>
  </si>
  <si>
    <t>Jcrussi6@misena.edu.co</t>
  </si>
  <si>
    <t>Brayan Andres</t>
  </si>
  <si>
    <t>Puello Sanchez</t>
  </si>
  <si>
    <t>Calle 70 A # 122 A 76</t>
  </si>
  <si>
    <t>Bapuello9@misena.edu.co</t>
  </si>
  <si>
    <t>Sebastian Danilo</t>
  </si>
  <si>
    <t>Correa Boyaca</t>
  </si>
  <si>
    <t xml:space="preserve">Carrera 87 # 129 c 19 Int 8 </t>
  </si>
  <si>
    <t>sdcorrea60@misena.edu.co</t>
  </si>
  <si>
    <t>Gary Daniela</t>
  </si>
  <si>
    <t>Vargas Saenz</t>
  </si>
  <si>
    <t xml:space="preserve">Carrera 8 Este # 9 - 28 Sur </t>
  </si>
  <si>
    <t>gdvargas35@misena.edu.co</t>
  </si>
  <si>
    <t>Carlos Alfredo</t>
  </si>
  <si>
    <t>Lopez Garzon</t>
  </si>
  <si>
    <t>Carrera 2 Este # 79 - 08 Sur</t>
  </si>
  <si>
    <t>calopez2651@misena.edu.co</t>
  </si>
  <si>
    <t>Mario Andres</t>
  </si>
  <si>
    <t>Velez Bravo</t>
  </si>
  <si>
    <t>Calle 129 A # 94 C - 56 A 94 C</t>
  </si>
  <si>
    <t>Mariiovelez15@gmail.com</t>
  </si>
  <si>
    <t>Valentina</t>
  </si>
  <si>
    <t>Grillo Martinez</t>
  </si>
  <si>
    <t xml:space="preserve">Calle 107 Sur # 4 - 59 </t>
  </si>
  <si>
    <t>vgrillo@misena.edu.co</t>
  </si>
  <si>
    <t>Valeria</t>
  </si>
  <si>
    <t>Criollo Cardenas</t>
  </si>
  <si>
    <t>Carrera 11 # 65 - 70 Sur Int 3</t>
  </si>
  <si>
    <t>vcriollo6@misena.edu.co</t>
  </si>
  <si>
    <t>Daniela Valentina</t>
  </si>
  <si>
    <t>Fonseca</t>
  </si>
  <si>
    <t>Carrera 47 b # 71 - 28 Sur</t>
  </si>
  <si>
    <t>Dvfonseca94@misena.edu.co</t>
  </si>
  <si>
    <t>Kevin</t>
  </si>
  <si>
    <t>Pulido Delgado</t>
  </si>
  <si>
    <t>Carrera 4 # 91 - 75 Sur</t>
  </si>
  <si>
    <t>kpulido857@misena.edu.co</t>
  </si>
  <si>
    <t>Juan Pablo</t>
  </si>
  <si>
    <t>Contreras Lopez</t>
  </si>
  <si>
    <t>Calle 128 b Bis A # 91 - 67</t>
  </si>
  <si>
    <t>contreraslopezjuanpablo026@gmail.com</t>
  </si>
  <si>
    <t>Milton Stiven</t>
  </si>
  <si>
    <t>Gonzalez Pinzon</t>
  </si>
  <si>
    <t xml:space="preserve">Carrera 72 # 76 a 45 Sur </t>
  </si>
  <si>
    <t>miltonstivenpinzon@gmail.com</t>
  </si>
  <si>
    <t>Sharon Guissell</t>
  </si>
  <si>
    <t>Quintero Espinel</t>
  </si>
  <si>
    <t xml:space="preserve">Carrera 121 # 128 B 21 </t>
  </si>
  <si>
    <t>espinelsharon@gmail.com</t>
  </si>
  <si>
    <t>Ivan Mauricio</t>
  </si>
  <si>
    <t>Cuervo Campos</t>
  </si>
  <si>
    <t>Precio Unitario</t>
  </si>
  <si>
    <t>Descripcion</t>
  </si>
  <si>
    <t>Producto</t>
  </si>
  <si>
    <t>En polvo por 2000 gramos</t>
  </si>
  <si>
    <t>liquido antibacterial por 1000 ml</t>
  </si>
  <si>
    <t>de cuerpo de 70 por 140 cm</t>
  </si>
  <si>
    <t xml:space="preserve">por 3kg </t>
  </si>
  <si>
    <t>blanco por 1 kg</t>
  </si>
  <si>
    <t>por 500 gr</t>
  </si>
  <si>
    <t>por 12 rollos</t>
  </si>
  <si>
    <t>por 1000 gr</t>
  </si>
  <si>
    <t>por 250 gr</t>
  </si>
  <si>
    <t>en lata en aceite</t>
  </si>
  <si>
    <t>de girasol por 1000 ml</t>
  </si>
  <si>
    <t>Salsa</t>
  </si>
  <si>
    <t>de tomate por 200 gr</t>
  </si>
  <si>
    <t>sabor pollo por 105 gr</t>
  </si>
  <si>
    <t>sabor fresa por 1000 ml</t>
  </si>
  <si>
    <t>surtida por 3 unidades</t>
  </si>
  <si>
    <t>sabor mandarina por 1.5 Lt</t>
  </si>
  <si>
    <t>entera por 1000 ml</t>
  </si>
  <si>
    <t>por 30 unidades</t>
  </si>
  <si>
    <t>por 22 ml</t>
  </si>
  <si>
    <t>Documento</t>
  </si>
  <si>
    <t>Nombres</t>
  </si>
  <si>
    <t>Apellidos</t>
  </si>
  <si>
    <t>José  Manuel</t>
  </si>
  <si>
    <t xml:space="preserve"> Paula Alejandra</t>
  </si>
  <si>
    <t>Cuellar Rodriguez</t>
  </si>
  <si>
    <t>Pedrozo Aldaba</t>
  </si>
  <si>
    <t>IDENTIFICACION</t>
  </si>
  <si>
    <t>FECHA</t>
  </si>
  <si>
    <t>CLIENTE</t>
  </si>
  <si>
    <t>DIRRECCION</t>
  </si>
  <si>
    <t>COTIZACION NO 001</t>
  </si>
  <si>
    <t>CORREO</t>
  </si>
  <si>
    <t>ITEMS</t>
  </si>
  <si>
    <t>COD_PRODUCTO</t>
  </si>
  <si>
    <t>PRODUCTO</t>
  </si>
  <si>
    <t>DESCRIPCION</t>
  </si>
  <si>
    <t>CANTIDAD</t>
  </si>
  <si>
    <t>VALOR UNITARIO</t>
  </si>
  <si>
    <t>VALOR TOTAL</t>
  </si>
  <si>
    <t>VALOR EN LETRAS</t>
  </si>
  <si>
    <t>SUBTOTAL</t>
  </si>
  <si>
    <t>IVA 19%</t>
  </si>
  <si>
    <t>TOTAL</t>
  </si>
  <si>
    <t>VENDEDOR</t>
  </si>
  <si>
    <t>sabor manzana por 1.5 Lt</t>
  </si>
  <si>
    <t xml:space="preserve">Tabla sin normalizar </t>
  </si>
  <si>
    <t xml:space="preserve">IDENTIFICACION </t>
  </si>
  <si>
    <t>DIR</t>
  </si>
  <si>
    <t>TEL/CEL</t>
  </si>
  <si>
    <t>EMALI</t>
  </si>
  <si>
    <t>ITEM</t>
  </si>
  <si>
    <t>COD. PRODUCTO</t>
  </si>
  <si>
    <t xml:space="preserve">Sub total </t>
  </si>
  <si>
    <t>Total de cotización</t>
  </si>
  <si>
    <t>Yasmin Lucia Moreno Suarez</t>
  </si>
  <si>
    <t>1,2,3,4,5,6,7,8,9,10</t>
  </si>
  <si>
    <t>PRO_2103,PRO_2104,PRO_2105,PRO_2106,PRO_2107,PRO_2108,PRO_2109,PRO_2110,PRO_2111PRO_2112</t>
  </si>
  <si>
    <t>De cuerpo de 70 por 140 cm</t>
  </si>
  <si>
    <t>Jose Manuel Posada Restrepo</t>
  </si>
  <si>
    <t>Yasmin</t>
  </si>
  <si>
    <t>Lucia</t>
  </si>
  <si>
    <t>Moreno</t>
  </si>
  <si>
    <t>Suarez</t>
  </si>
  <si>
    <t>PRO_21003</t>
  </si>
  <si>
    <t>PRO_21004</t>
  </si>
  <si>
    <t>PRO_21005</t>
  </si>
  <si>
    <t>PRO_21006</t>
  </si>
  <si>
    <t>PRO_21007</t>
  </si>
  <si>
    <t>PRO_21008</t>
  </si>
  <si>
    <t>PRO_21009</t>
  </si>
  <si>
    <t>PRO_21010</t>
  </si>
  <si>
    <t>PRO_21011</t>
  </si>
  <si>
    <t>PRO_21012</t>
  </si>
  <si>
    <t>Por 3kg</t>
  </si>
  <si>
    <t>Blanco por 1kg</t>
  </si>
  <si>
    <t>Por 500gr</t>
  </si>
  <si>
    <t>Por 12 rollos</t>
  </si>
  <si>
    <t>Por 250gr</t>
  </si>
  <si>
    <t>De trigo por 500gr</t>
  </si>
  <si>
    <t>De girasol por 1000 ml</t>
  </si>
  <si>
    <t>De cuerpo de 70 por 140 cm,Por 3kg,Blanco por 1kg,Por 500gr,Por 12 rollos,Por 1000 gr,Por 250gr,De trigo por 500gr,En lata en aceite, De girasol por 1000 ml</t>
  </si>
  <si>
    <t>Por 1000 gr</t>
  </si>
  <si>
    <t>Jose</t>
  </si>
  <si>
    <t>Manuel</t>
  </si>
  <si>
    <t>Posada</t>
  </si>
  <si>
    <t>Restrepo</t>
  </si>
  <si>
    <t>P Nombre</t>
  </si>
  <si>
    <t>S Nombre</t>
  </si>
  <si>
    <t>P Apellido</t>
  </si>
  <si>
    <t>S Apellido</t>
  </si>
  <si>
    <t>N Cotizacion</t>
  </si>
  <si>
    <t>No 001</t>
  </si>
  <si>
    <t>COTIZACION</t>
  </si>
  <si>
    <t>toallas</t>
  </si>
  <si>
    <t>toallas,Arroz,Azucar,Lenteja,Papel higienico,Sal,Pasta,Harina,Atun,Aceite</t>
  </si>
  <si>
    <t>Papel higienico</t>
  </si>
  <si>
    <t>VENDEDORES</t>
  </si>
  <si>
    <t>3,1,1,1,1,1,1,1,1,1</t>
  </si>
  <si>
    <t>$20.000,$9.000,$1.700,$2.000,$8.500,$1.100,$1.100,$1.600,$5.900,$13.900</t>
  </si>
  <si>
    <t>$60.000,$9.000,$1.700,$2.000,$8.500,$1.100,$1.100,$1.600,$5.900,$13,900</t>
  </si>
  <si>
    <t xml:space="preserve">Identificacion Vendedor </t>
  </si>
  <si>
    <t>Nombre Vendedor</t>
  </si>
  <si>
    <t>RELACION_Cliente_Cotizacion</t>
  </si>
  <si>
    <t>RELACION_Vendedor_Cotizacion</t>
  </si>
  <si>
    <t>RELACION_Producto_Cotizacion</t>
  </si>
  <si>
    <t>N. Cotizacion</t>
  </si>
  <si>
    <t>Cod_Producto</t>
  </si>
  <si>
    <t>Iden_Vendedor</t>
  </si>
  <si>
    <t>En lata de aceite</t>
  </si>
  <si>
    <t>Iden_Cliente</t>
  </si>
  <si>
    <t>N</t>
  </si>
  <si>
    <t>FUERTES</t>
  </si>
  <si>
    <t>DEBILES</t>
  </si>
  <si>
    <t>PERMITE</t>
  </si>
  <si>
    <t>DEBERIA</t>
  </si>
  <si>
    <t>PK</t>
  </si>
  <si>
    <t>FKPK</t>
  </si>
  <si>
    <t>SI</t>
  </si>
  <si>
    <t>No 002</t>
  </si>
  <si>
    <t>No 003</t>
  </si>
  <si>
    <t>Cereal</t>
  </si>
  <si>
    <t>chocolate por 1000 gr</t>
  </si>
  <si>
    <t>RELACION_PRODUCTO_COTIZACION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</si>
</sst>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_(&quot;$&quot;\ * #,##0_);_(&quot;$&quot;\ * \(#,##0\);_(&quot;$&quot;\ * &quot;-&quot;_);_(@_)"/>
    <numFmt numFmtId="165" formatCode="_-&quot;$&quot;* #,##0_-;\-&quot;$&quot;* #,##0_-;_-&quot;$&quot;* &quot;-&quot;_-;_-@_-"/>
    <numFmt numFmtId="166" formatCode="_-&quot;$&quot;\ * #,##0_-;\-&quot;$&quot;\ * #,##0_-;_-&quot;$&quot;\ * &quot;-&quot;??_-;_-@_-"/>
  </numFmts>
  <fonts count="3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9"/>
      <color theme="1"/>
      <name val="Kalinga"/>
      <family val="2"/>
    </font>
    <font>
      <sz val="10"/>
      <color theme="1"/>
      <name val="Kalinga"/>
      <family val="2"/>
    </font>
    <font>
      <sz val="8"/>
      <color theme="1"/>
      <name val="Kalinga"/>
      <family val="2"/>
    </font>
    <font>
      <b/>
      <sz val="9"/>
      <color theme="1"/>
      <name val="Modern Cap Love"/>
    </font>
    <font>
      <b/>
      <sz val="10"/>
      <color theme="1"/>
      <name val="Calibri Light"/>
      <family val="2"/>
    </font>
    <font>
      <b/>
      <sz val="10"/>
      <color theme="1"/>
      <name val="Calibri Light"/>
      <family val="2"/>
      <scheme val="major"/>
    </font>
    <font>
      <b/>
      <sz val="8"/>
      <color theme="1"/>
      <name val="Calibri Light"/>
      <family val="2"/>
      <scheme val="major"/>
    </font>
    <font>
      <b/>
      <sz val="11"/>
      <color rgb="FFFFFF00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b/>
      <sz val="10"/>
      <color rgb="FFFFFF00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FF00"/>
      <name val="Arial"/>
      <family val="2"/>
    </font>
    <font>
      <u/>
      <sz val="11"/>
      <color theme="10"/>
      <name val="Arial"/>
      <family val="2"/>
    </font>
    <font>
      <sz val="11"/>
      <color rgb="FFFFFF00"/>
      <name val="Arial"/>
      <family val="2"/>
    </font>
    <font>
      <sz val="9"/>
      <color theme="1"/>
      <name val="Arial"/>
      <family val="2"/>
    </font>
    <font>
      <sz val="10"/>
      <color rgb="FFFFFF00"/>
      <name val="Arial"/>
      <family val="2"/>
    </font>
    <font>
      <u/>
      <sz val="10"/>
      <color theme="10"/>
      <name val="Arial"/>
      <family val="2"/>
    </font>
    <font>
      <b/>
      <sz val="8"/>
      <color theme="1"/>
      <name val="Arial"/>
      <family val="2"/>
    </font>
    <font>
      <u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FEDA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theme="8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indexed="64"/>
      </bottom>
      <diagonal/>
    </border>
    <border>
      <left style="thin">
        <color theme="2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2"/>
      </right>
      <top/>
      <bottom style="thin">
        <color indexed="64"/>
      </bottom>
      <diagonal/>
    </border>
    <border>
      <left style="thin">
        <color theme="2"/>
      </left>
      <right/>
      <top/>
      <bottom/>
      <diagonal/>
    </border>
    <border>
      <left style="thin">
        <color theme="2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165" fontId="18" fillId="0" borderId="0" applyFont="0" applyFill="0" applyBorder="0" applyAlignment="0" applyProtection="0"/>
    <xf numFmtId="0" fontId="6" fillId="0" borderId="0" applyNumberFormat="0" applyFill="0" applyBorder="0" applyAlignment="0" applyProtection="0"/>
    <xf numFmtId="44" fontId="18" fillId="0" borderId="0" applyFont="0" applyFill="0" applyBorder="0" applyAlignment="0" applyProtection="0"/>
  </cellStyleXfs>
  <cellXfs count="149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14" fontId="3" fillId="2" borderId="6" xfId="0" applyNumberFormat="1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2" xfId="0" applyNumberFormat="1" applyBorder="1" applyAlignment="1">
      <alignment horizontal="center" vertical="center" wrapText="1"/>
    </xf>
    <xf numFmtId="0" fontId="0" fillId="0" borderId="6" xfId="0" applyNumberForma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6" fillId="0" borderId="0" xfId="1"/>
    <xf numFmtId="0" fontId="7" fillId="0" borderId="2" xfId="0" applyFont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9" fillId="6" borderId="2" xfId="0" applyFont="1" applyFill="1" applyBorder="1" applyAlignment="1">
      <alignment horizontal="center"/>
    </xf>
    <xf numFmtId="0" fontId="11" fillId="6" borderId="2" xfId="0" applyFont="1" applyFill="1" applyBorder="1" applyAlignment="1">
      <alignment horizontal="center" wrapText="1"/>
    </xf>
    <xf numFmtId="0" fontId="9" fillId="6" borderId="2" xfId="0" applyFont="1" applyFill="1" applyBorder="1" applyAlignment="1">
      <alignment horizontal="center" vertical="center"/>
    </xf>
    <xf numFmtId="164" fontId="9" fillId="6" borderId="2" xfId="0" applyNumberFormat="1" applyFont="1" applyFill="1" applyBorder="1"/>
    <xf numFmtId="0" fontId="11" fillId="6" borderId="2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0" fontId="14" fillId="3" borderId="2" xfId="0" applyFont="1" applyFill="1" applyBorder="1"/>
    <xf numFmtId="0" fontId="14" fillId="3" borderId="2" xfId="0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/>
    </xf>
    <xf numFmtId="0" fontId="17" fillId="3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9" fillId="8" borderId="16" xfId="0" applyFont="1" applyFill="1" applyBorder="1" applyAlignment="1">
      <alignment horizontal="center" vertical="center" wrapText="1"/>
    </xf>
    <xf numFmtId="0" fontId="21" fillId="8" borderId="16" xfId="0" applyFont="1" applyFill="1" applyBorder="1" applyAlignment="1">
      <alignment horizontal="center" vertical="center"/>
    </xf>
    <xf numFmtId="22" fontId="19" fillId="3" borderId="2" xfId="0" applyNumberFormat="1" applyFont="1" applyFill="1" applyBorder="1" applyAlignment="1">
      <alignment horizontal="center" vertical="center" wrapText="1"/>
    </xf>
    <xf numFmtId="0" fontId="19" fillId="3" borderId="2" xfId="0" applyFont="1" applyFill="1" applyBorder="1" applyAlignment="1">
      <alignment horizontal="center" vertical="center" wrapText="1"/>
    </xf>
    <xf numFmtId="0" fontId="20" fillId="5" borderId="2" xfId="0" applyFont="1" applyFill="1" applyBorder="1" applyAlignment="1">
      <alignment horizontal="center" vertical="center" wrapText="1"/>
    </xf>
    <xf numFmtId="0" fontId="21" fillId="5" borderId="2" xfId="0" applyFont="1" applyFill="1" applyBorder="1" applyAlignment="1">
      <alignment horizontal="center" vertical="center" wrapText="1"/>
    </xf>
    <xf numFmtId="44" fontId="20" fillId="5" borderId="2" xfId="4" applyFont="1" applyFill="1" applyBorder="1" applyAlignment="1">
      <alignment horizontal="center" vertical="center" wrapText="1"/>
    </xf>
    <xf numFmtId="166" fontId="20" fillId="5" borderId="2" xfId="4" applyNumberFormat="1" applyFont="1" applyFill="1" applyBorder="1" applyAlignment="1">
      <alignment horizontal="center" vertical="center" wrapText="1"/>
    </xf>
    <xf numFmtId="165" fontId="20" fillId="5" borderId="2" xfId="2" applyFont="1" applyFill="1" applyBorder="1" applyAlignment="1">
      <alignment horizontal="center" vertical="center" wrapText="1"/>
    </xf>
    <xf numFmtId="0" fontId="21" fillId="5" borderId="2" xfId="0" applyFont="1" applyFill="1" applyBorder="1" applyAlignment="1">
      <alignment horizontal="center" vertical="center"/>
    </xf>
    <xf numFmtId="22" fontId="23" fillId="4" borderId="2" xfId="0" applyNumberFormat="1" applyFont="1" applyFill="1" applyBorder="1" applyAlignment="1">
      <alignment horizontal="center" vertical="center" wrapText="1"/>
    </xf>
    <xf numFmtId="0" fontId="20" fillId="3" borderId="2" xfId="0" applyFont="1" applyFill="1" applyBorder="1" applyAlignment="1">
      <alignment horizontal="center" vertical="center" wrapText="1"/>
    </xf>
    <xf numFmtId="22" fontId="19" fillId="3" borderId="5" xfId="0" applyNumberFormat="1" applyFont="1" applyFill="1" applyBorder="1" applyAlignment="1">
      <alignment horizontal="center" vertical="center" wrapText="1"/>
    </xf>
    <xf numFmtId="0" fontId="19" fillId="3" borderId="5" xfId="0" applyFont="1" applyFill="1" applyBorder="1" applyAlignment="1">
      <alignment horizontal="center" vertical="center" wrapText="1"/>
    </xf>
    <xf numFmtId="0" fontId="24" fillId="3" borderId="2" xfId="0" applyFont="1" applyFill="1" applyBorder="1" applyAlignment="1">
      <alignment horizontal="center" vertical="center" wrapText="1"/>
    </xf>
    <xf numFmtId="0" fontId="25" fillId="5" borderId="2" xfId="0" applyFont="1" applyFill="1" applyBorder="1" applyAlignment="1">
      <alignment horizontal="center" vertical="center"/>
    </xf>
    <xf numFmtId="0" fontId="25" fillId="0" borderId="0" xfId="0" applyFont="1"/>
    <xf numFmtId="0" fontId="25" fillId="11" borderId="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24" fillId="3" borderId="2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/>
    </xf>
    <xf numFmtId="0" fontId="25" fillId="5" borderId="2" xfId="0" applyFont="1" applyFill="1" applyBorder="1" applyAlignment="1">
      <alignment horizontal="center"/>
    </xf>
    <xf numFmtId="0" fontId="25" fillId="11" borderId="2" xfId="0" applyFont="1" applyFill="1" applyBorder="1" applyAlignment="1">
      <alignment horizontal="center"/>
    </xf>
    <xf numFmtId="0" fontId="28" fillId="11" borderId="2" xfId="3" applyFont="1" applyFill="1" applyBorder="1" applyAlignment="1">
      <alignment horizontal="center"/>
    </xf>
    <xf numFmtId="22" fontId="30" fillId="5" borderId="2" xfId="0" applyNumberFormat="1" applyFont="1" applyFill="1" applyBorder="1" applyAlignment="1">
      <alignment vertical="center"/>
    </xf>
    <xf numFmtId="0" fontId="26" fillId="8" borderId="16" xfId="0" applyFont="1" applyFill="1" applyBorder="1" applyAlignment="1"/>
    <xf numFmtId="0" fontId="25" fillId="0" borderId="16" xfId="0" applyFont="1" applyBorder="1"/>
    <xf numFmtId="0" fontId="25" fillId="10" borderId="2" xfId="0" applyFont="1" applyFill="1" applyBorder="1" applyAlignment="1">
      <alignment horizontal="center" vertical="center"/>
    </xf>
    <xf numFmtId="0" fontId="28" fillId="11" borderId="2" xfId="3" applyFont="1" applyFill="1" applyBorder="1" applyAlignment="1">
      <alignment horizontal="center" vertical="center"/>
    </xf>
    <xf numFmtId="0" fontId="25" fillId="9" borderId="16" xfId="0" applyFont="1" applyFill="1" applyBorder="1" applyAlignment="1">
      <alignment horizontal="center"/>
    </xf>
    <xf numFmtId="0" fontId="25" fillId="8" borderId="16" xfId="0" applyFont="1" applyFill="1" applyBorder="1"/>
    <xf numFmtId="0" fontId="20" fillId="5" borderId="2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32" fillId="11" borderId="2" xfId="3" applyFont="1" applyFill="1" applyBorder="1" applyAlignment="1">
      <alignment horizontal="center" vertical="center"/>
    </xf>
    <xf numFmtId="22" fontId="20" fillId="5" borderId="2" xfId="0" applyNumberFormat="1" applyFont="1" applyFill="1" applyBorder="1" applyAlignment="1">
      <alignment vertical="center"/>
    </xf>
    <xf numFmtId="0" fontId="20" fillId="5" borderId="2" xfId="0" applyFont="1" applyFill="1" applyBorder="1" applyAlignment="1">
      <alignment vertical="center"/>
    </xf>
    <xf numFmtId="0" fontId="20" fillId="11" borderId="2" xfId="0" applyFont="1" applyFill="1" applyBorder="1" applyAlignment="1">
      <alignment vertical="center"/>
    </xf>
    <xf numFmtId="22" fontId="20" fillId="5" borderId="2" xfId="0" applyNumberFormat="1" applyFont="1" applyFill="1" applyBorder="1" applyAlignment="1">
      <alignment horizontal="center" vertical="center"/>
    </xf>
    <xf numFmtId="0" fontId="20" fillId="11" borderId="12" xfId="0" applyFont="1" applyFill="1" applyBorder="1" applyAlignment="1">
      <alignment horizontal="center" vertical="center"/>
    </xf>
    <xf numFmtId="0" fontId="0" fillId="0" borderId="18" xfId="0" applyBorder="1"/>
    <xf numFmtId="0" fontId="0" fillId="13" borderId="17" xfId="0" applyFill="1" applyBorder="1" applyAlignment="1">
      <alignment horizontal="center"/>
    </xf>
    <xf numFmtId="0" fontId="20" fillId="8" borderId="0" xfId="0" applyFont="1" applyFill="1" applyBorder="1" applyAlignment="1">
      <alignment horizontal="left" vertical="center" wrapText="1"/>
    </xf>
    <xf numFmtId="0" fontId="20" fillId="8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0" fontId="0" fillId="8" borderId="0" xfId="0" applyFill="1" applyAlignment="1">
      <alignment horizontal="left"/>
    </xf>
    <xf numFmtId="0" fontId="23" fillId="4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 applyAlignment="1">
      <alignment horizontal="left"/>
    </xf>
    <xf numFmtId="0" fontId="0" fillId="3" borderId="0" xfId="0" applyFill="1"/>
    <xf numFmtId="0" fontId="0" fillId="3" borderId="0" xfId="0" applyFill="1" applyAlignment="1">
      <alignment horizontal="right"/>
    </xf>
    <xf numFmtId="0" fontId="0" fillId="14" borderId="0" xfId="0" applyFill="1" applyAlignment="1">
      <alignment horizontal="left"/>
    </xf>
    <xf numFmtId="0" fontId="0" fillId="14" borderId="0" xfId="0" applyFill="1" applyAlignment="1">
      <alignment horizontal="right"/>
    </xf>
    <xf numFmtId="0" fontId="0" fillId="0" borderId="14" xfId="0" applyBorder="1"/>
    <xf numFmtId="0" fontId="31" fillId="4" borderId="23" xfId="0" applyFont="1" applyFill="1" applyBorder="1" applyAlignment="1">
      <alignment horizontal="center"/>
    </xf>
    <xf numFmtId="0" fontId="31" fillId="4" borderId="24" xfId="0" applyFont="1" applyFill="1" applyBorder="1" applyAlignment="1">
      <alignment horizontal="center"/>
    </xf>
    <xf numFmtId="0" fontId="0" fillId="6" borderId="5" xfId="0" applyFill="1" applyBorder="1"/>
    <xf numFmtId="0" fontId="0" fillId="6" borderId="7" xfId="0" applyFill="1" applyBorder="1"/>
    <xf numFmtId="0" fontId="0" fillId="0" borderId="13" xfId="0" applyBorder="1"/>
    <xf numFmtId="0" fontId="25" fillId="8" borderId="2" xfId="0" applyFont="1" applyFill="1" applyBorder="1" applyAlignment="1">
      <alignment horizontal="center" vertical="center"/>
    </xf>
    <xf numFmtId="0" fontId="34" fillId="0" borderId="0" xfId="0" applyFont="1"/>
    <xf numFmtId="0" fontId="2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22" fontId="9" fillId="0" borderId="2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/>
    </xf>
    <xf numFmtId="0" fontId="17" fillId="3" borderId="2" xfId="0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 vertical="center"/>
    </xf>
    <xf numFmtId="0" fontId="23" fillId="4" borderId="0" xfId="0" applyFont="1" applyFill="1" applyBorder="1" applyAlignment="1">
      <alignment horizontal="center" vertical="center"/>
    </xf>
    <xf numFmtId="0" fontId="23" fillId="4" borderId="8" xfId="0" applyFont="1" applyFill="1" applyBorder="1" applyAlignment="1">
      <alignment horizontal="center" vertical="center"/>
    </xf>
    <xf numFmtId="0" fontId="23" fillId="4" borderId="14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/>
    </xf>
    <xf numFmtId="0" fontId="23" fillId="4" borderId="8" xfId="0" applyFont="1" applyFill="1" applyBorder="1" applyAlignment="1">
      <alignment horizontal="center"/>
    </xf>
    <xf numFmtId="0" fontId="23" fillId="4" borderId="14" xfId="0" applyFont="1" applyFill="1" applyBorder="1" applyAlignment="1">
      <alignment horizontal="center"/>
    </xf>
    <xf numFmtId="0" fontId="24" fillId="12" borderId="2" xfId="0" applyFont="1" applyFill="1" applyBorder="1" applyAlignment="1">
      <alignment horizontal="center"/>
    </xf>
    <xf numFmtId="0" fontId="29" fillId="4" borderId="3" xfId="0" applyFont="1" applyFill="1" applyBorder="1" applyAlignment="1">
      <alignment horizontal="center"/>
    </xf>
    <xf numFmtId="0" fontId="29" fillId="4" borderId="2" xfId="0" applyFont="1" applyFill="1" applyBorder="1" applyAlignment="1">
      <alignment horizontal="center"/>
    </xf>
    <xf numFmtId="0" fontId="29" fillId="4" borderId="0" xfId="0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0" fontId="19" fillId="12" borderId="3" xfId="0" applyFont="1" applyFill="1" applyBorder="1" applyAlignment="1">
      <alignment horizontal="center" vertical="center" wrapText="1"/>
    </xf>
    <xf numFmtId="0" fontId="24" fillId="12" borderId="4" xfId="0" applyFont="1" applyFill="1" applyBorder="1" applyAlignment="1">
      <alignment horizontal="center"/>
    </xf>
    <xf numFmtId="0" fontId="24" fillId="12" borderId="3" xfId="0" applyFont="1" applyFill="1" applyBorder="1" applyAlignment="1">
      <alignment horizontal="center"/>
    </xf>
    <xf numFmtId="0" fontId="20" fillId="5" borderId="6" xfId="0" applyFont="1" applyFill="1" applyBorder="1" applyAlignment="1">
      <alignment horizontal="center" vertical="center" wrapText="1"/>
    </xf>
    <xf numFmtId="0" fontId="20" fillId="5" borderId="11" xfId="0" applyFont="1" applyFill="1" applyBorder="1" applyAlignment="1">
      <alignment horizontal="center" vertical="center" wrapText="1"/>
    </xf>
    <xf numFmtId="0" fontId="20" fillId="5" borderId="5" xfId="0" applyFont="1" applyFill="1" applyBorder="1" applyAlignment="1">
      <alignment horizontal="center" vertical="center" wrapText="1"/>
    </xf>
    <xf numFmtId="0" fontId="27" fillId="4" borderId="2" xfId="0" applyFont="1" applyFill="1" applyBorder="1" applyAlignment="1">
      <alignment horizontal="center"/>
    </xf>
    <xf numFmtId="0" fontId="20" fillId="10" borderId="2" xfId="0" applyFont="1" applyFill="1" applyBorder="1" applyAlignment="1">
      <alignment horizontal="center" vertical="center" wrapText="1"/>
    </xf>
    <xf numFmtId="0" fontId="23" fillId="4" borderId="0" xfId="0" applyFont="1" applyFill="1" applyAlignment="1">
      <alignment horizontal="center"/>
    </xf>
    <xf numFmtId="0" fontId="33" fillId="12" borderId="4" xfId="0" applyFont="1" applyFill="1" applyBorder="1" applyAlignment="1">
      <alignment horizontal="center"/>
    </xf>
    <xf numFmtId="0" fontId="33" fillId="12" borderId="3" xfId="0" applyFont="1" applyFill="1" applyBorder="1" applyAlignment="1">
      <alignment horizontal="center"/>
    </xf>
    <xf numFmtId="0" fontId="23" fillId="4" borderId="19" xfId="0" applyFont="1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26" fillId="12" borderId="4" xfId="0" applyFont="1" applyFill="1" applyBorder="1" applyAlignment="1">
      <alignment horizontal="center"/>
    </xf>
    <xf numFmtId="0" fontId="26" fillId="12" borderId="3" xfId="0" applyFont="1" applyFill="1" applyBorder="1" applyAlignment="1">
      <alignment horizontal="center"/>
    </xf>
  </cellXfs>
  <cellStyles count="5">
    <cellStyle name="Hipervínculo" xfId="3" builtinId="8"/>
    <cellStyle name="Hyperlink" xfId="1" xr:uid="{00000000-0005-0000-0000-000001000000}"/>
    <cellStyle name="Moneda" xfId="4" builtinId="4"/>
    <cellStyle name="Moneda [0]" xfId="2" builtinId="7"/>
    <cellStyle name="Normal" xfId="0" builtinId="0"/>
  </cellStyles>
  <dxfs count="4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/>
    </dxf>
    <dxf>
      <alignment horizontal="center"/>
    </dxf>
    <dxf>
      <alignment horizontal="center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9" formatCode="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2"/>
        <name val="Arial"/>
        <scheme val="none"/>
      </font>
      <numFmt numFmtId="19" formatCode="d/mm/yyyy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/>
        <color rgb="FFFF0000"/>
      </font>
    </dxf>
    <dxf>
      <font>
        <b val="0"/>
        <i/>
        <color rgb="FFFF0000"/>
      </font>
    </dxf>
  </dxfs>
  <tableStyles count="0" defaultTableStyle="TableStyleMedium2" defaultPivotStyle="PivotStyleLight16"/>
  <colors>
    <mruColors>
      <color rgb="FFFDFEDA"/>
      <color rgb="FFFFFF66"/>
      <color rgb="FFFFFFCC"/>
      <color rgb="FFFF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alidas!A1"/><Relationship Id="rId1" Type="http://schemas.openxmlformats.org/officeDocument/2006/relationships/hyperlink" Target="#' Entrada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Salidas!A1"/><Relationship Id="rId1" Type="http://schemas.openxmlformats.org/officeDocument/2006/relationships/hyperlink" Target="#Productos!A1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Productos!A1"/><Relationship Id="rId1" Type="http://schemas.openxmlformats.org/officeDocument/2006/relationships/hyperlink" Target="#' Entradas'!A1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Salidas!A1"/><Relationship Id="rId1" Type="http://schemas.openxmlformats.org/officeDocument/2006/relationships/hyperlink" Target="#' Entradas'!A1"/><Relationship Id="rId4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85725</xdr:colOff>
      <xdr:row>4</xdr:row>
      <xdr:rowOff>38100</xdr:rowOff>
    </xdr:from>
    <xdr:to>
      <xdr:col>8</xdr:col>
      <xdr:colOff>504825</xdr:colOff>
      <xdr:row>6</xdr:row>
      <xdr:rowOff>152400</xdr:rowOff>
    </xdr:to>
    <xdr:sp macro="" textlink="">
      <xdr:nvSpPr>
        <xdr:cNvPr id="2" name="Llamada rectangular redondea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848475" y="800100"/>
          <a:ext cx="1600200" cy="495300"/>
        </a:xfrm>
        <a:prstGeom prst="wedgeRoundRectCallou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2000" b="1"/>
            <a:t>ENTRADAS</a:t>
          </a:r>
          <a:endParaRPr lang="es-CO" sz="1100" b="1"/>
        </a:p>
      </xdr:txBody>
    </xdr:sp>
    <xdr:clientData/>
  </xdr:twoCellAnchor>
  <xdr:twoCellAnchor>
    <xdr:from>
      <xdr:col>8</xdr:col>
      <xdr:colOff>552450</xdr:colOff>
      <xdr:row>4</xdr:row>
      <xdr:rowOff>38100</xdr:rowOff>
    </xdr:from>
    <xdr:to>
      <xdr:col>10</xdr:col>
      <xdr:colOff>361950</xdr:colOff>
      <xdr:row>6</xdr:row>
      <xdr:rowOff>152400</xdr:rowOff>
    </xdr:to>
    <xdr:sp macro="" textlink="">
      <xdr:nvSpPr>
        <xdr:cNvPr id="3" name="Llamada rectangular redondead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496300" y="800100"/>
          <a:ext cx="1600200" cy="495300"/>
        </a:xfrm>
        <a:prstGeom prst="wedgeRoundRectCallou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2000" b="1"/>
            <a:t>SALIDAS</a:t>
          </a:r>
          <a:r>
            <a:rPr lang="es-CO" sz="2000" b="1" baseline="0"/>
            <a:t> </a:t>
          </a:r>
          <a:endParaRPr lang="es-CO" sz="2000" b="1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614234</xdr:colOff>
      <xdr:row>6</xdr:row>
      <xdr:rowOff>228600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76234" cy="1371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1076325</xdr:colOff>
      <xdr:row>2</xdr:row>
      <xdr:rowOff>76200</xdr:rowOff>
    </xdr:from>
    <xdr:to>
      <xdr:col>6</xdr:col>
      <xdr:colOff>704850</xdr:colOff>
      <xdr:row>4</xdr:row>
      <xdr:rowOff>190500</xdr:rowOff>
    </xdr:to>
    <xdr:sp macro="" textlink="">
      <xdr:nvSpPr>
        <xdr:cNvPr id="2" name="Llamada rectangular redondea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953000" y="457200"/>
          <a:ext cx="1600200" cy="495300"/>
        </a:xfrm>
        <a:prstGeom prst="wedgeRoundRectCallou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2000" b="1"/>
            <a:t>PRODUCTOS</a:t>
          </a:r>
          <a:endParaRPr lang="es-CO" sz="1100" b="1"/>
        </a:p>
      </xdr:txBody>
    </xdr:sp>
    <xdr:clientData/>
  </xdr:twoCellAnchor>
  <xdr:twoCellAnchor>
    <xdr:from>
      <xdr:col>6</xdr:col>
      <xdr:colOff>752475</xdr:colOff>
      <xdr:row>2</xdr:row>
      <xdr:rowOff>47625</xdr:rowOff>
    </xdr:from>
    <xdr:to>
      <xdr:col>9</xdr:col>
      <xdr:colOff>66675</xdr:colOff>
      <xdr:row>4</xdr:row>
      <xdr:rowOff>161925</xdr:rowOff>
    </xdr:to>
    <xdr:sp macro="" textlink="">
      <xdr:nvSpPr>
        <xdr:cNvPr id="3" name="Llamada rectangular redondead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515100" y="428625"/>
          <a:ext cx="1600200" cy="495300"/>
        </a:xfrm>
        <a:prstGeom prst="wedgeRoundRectCallou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2000" b="1"/>
            <a:t>SALIDAS</a:t>
          </a:r>
          <a:r>
            <a:rPr lang="es-CO" sz="2000" b="1" baseline="0"/>
            <a:t> </a:t>
          </a:r>
          <a:endParaRPr lang="es-CO" sz="2000" b="1"/>
        </a:p>
      </xdr:txBody>
    </xdr:sp>
    <xdr:clientData/>
  </xdr:twoCellAnchor>
  <xdr:twoCellAnchor>
    <xdr:from>
      <xdr:col>9</xdr:col>
      <xdr:colOff>219075</xdr:colOff>
      <xdr:row>1</xdr:row>
      <xdr:rowOff>76200</xdr:rowOff>
    </xdr:from>
    <xdr:to>
      <xdr:col>10</xdr:col>
      <xdr:colOff>485775</xdr:colOff>
      <xdr:row>6</xdr:row>
      <xdr:rowOff>9525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8353425" y="266700"/>
          <a:ext cx="1028700" cy="981075"/>
          <a:chOff x="8201025" y="323850"/>
          <a:chExt cx="1028700" cy="981075"/>
        </a:xfrm>
      </xdr:grpSpPr>
      <xdr:sp macro="" textlink="">
        <xdr:nvSpPr>
          <xdr:cNvPr id="7" name="Rectángulo redondeado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8201025" y="323850"/>
            <a:ext cx="1028700" cy="981075"/>
          </a:xfrm>
          <a:prstGeom prst="round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pic>
        <xdr:nvPicPr>
          <xdr:cNvPr id="5" name="Imagen 4" descr="Ilustración de lupa PNG transparente - StickPNG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5650679">
            <a:off x="8258176" y="381002"/>
            <a:ext cx="847723" cy="84772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447675</xdr:colOff>
      <xdr:row>5</xdr:row>
      <xdr:rowOff>167377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9675" cy="12056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1066800</xdr:colOff>
      <xdr:row>2</xdr:row>
      <xdr:rowOff>57150</xdr:rowOff>
    </xdr:from>
    <xdr:to>
      <xdr:col>6</xdr:col>
      <xdr:colOff>695325</xdr:colOff>
      <xdr:row>4</xdr:row>
      <xdr:rowOff>171450</xdr:rowOff>
    </xdr:to>
    <xdr:sp macro="" textlink="">
      <xdr:nvSpPr>
        <xdr:cNvPr id="2" name="Llamada rectangular redondea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038725" y="438150"/>
          <a:ext cx="1600200" cy="495300"/>
        </a:xfrm>
        <a:prstGeom prst="wedgeRoundRectCallou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2000" b="1"/>
            <a:t>ENTRADAS</a:t>
          </a:r>
          <a:endParaRPr lang="es-CO" sz="1100" b="1"/>
        </a:p>
      </xdr:txBody>
    </xdr:sp>
    <xdr:clientData/>
  </xdr:twoCellAnchor>
  <xdr:twoCellAnchor>
    <xdr:from>
      <xdr:col>6</xdr:col>
      <xdr:colOff>742950</xdr:colOff>
      <xdr:row>2</xdr:row>
      <xdr:rowOff>57150</xdr:rowOff>
    </xdr:from>
    <xdr:to>
      <xdr:col>8</xdr:col>
      <xdr:colOff>666750</xdr:colOff>
      <xdr:row>4</xdr:row>
      <xdr:rowOff>171450</xdr:rowOff>
    </xdr:to>
    <xdr:sp macro="" textlink="">
      <xdr:nvSpPr>
        <xdr:cNvPr id="3" name="Llamada rectangular redondead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829425" y="438150"/>
          <a:ext cx="1600200" cy="495300"/>
        </a:xfrm>
        <a:prstGeom prst="wedgeRoundRectCallou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2000" b="1"/>
            <a:t>PRODUCTOS</a:t>
          </a:r>
        </a:p>
      </xdr:txBody>
    </xdr:sp>
    <xdr:clientData/>
  </xdr:twoCellAnchor>
  <xdr:twoCellAnchor>
    <xdr:from>
      <xdr:col>8</xdr:col>
      <xdr:colOff>819150</xdr:colOff>
      <xdr:row>1</xdr:row>
      <xdr:rowOff>85725</xdr:rowOff>
    </xdr:from>
    <xdr:to>
      <xdr:col>10</xdr:col>
      <xdr:colOff>171450</xdr:colOff>
      <xdr:row>6</xdr:row>
      <xdr:rowOff>19050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8582025" y="276225"/>
          <a:ext cx="1028700" cy="981075"/>
          <a:chOff x="8201025" y="323850"/>
          <a:chExt cx="1028700" cy="981075"/>
        </a:xfrm>
      </xdr:grpSpPr>
      <xdr:sp macro="" textlink="">
        <xdr:nvSpPr>
          <xdr:cNvPr id="5" name="Rectángulo redondeado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8201025" y="323850"/>
            <a:ext cx="1028700" cy="981075"/>
          </a:xfrm>
          <a:prstGeom prst="round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pic>
        <xdr:nvPicPr>
          <xdr:cNvPr id="6" name="Imagen 5" descr="Ilustración de lupa PNG transparente - StickPNG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5650679">
            <a:off x="8258176" y="381002"/>
            <a:ext cx="847723" cy="84772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371475</xdr:colOff>
      <xdr:row>5</xdr:row>
      <xdr:rowOff>167377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9675" cy="120560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3</xdr:row>
      <xdr:rowOff>57150</xdr:rowOff>
    </xdr:from>
    <xdr:to>
      <xdr:col>4</xdr:col>
      <xdr:colOff>552450</xdr:colOff>
      <xdr:row>5</xdr:row>
      <xdr:rowOff>171450</xdr:rowOff>
    </xdr:to>
    <xdr:sp macro="" textlink="">
      <xdr:nvSpPr>
        <xdr:cNvPr id="2" name="Llamada rectangular redondea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91050" y="628650"/>
          <a:ext cx="1600200" cy="495300"/>
        </a:xfrm>
        <a:prstGeom prst="wedgeRoundRectCallou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2000" b="1"/>
            <a:t>ENTRADAS</a:t>
          </a:r>
          <a:endParaRPr lang="es-CO" sz="1100" b="1"/>
        </a:p>
      </xdr:txBody>
    </xdr:sp>
    <xdr:clientData/>
  </xdr:twoCellAnchor>
  <xdr:twoCellAnchor>
    <xdr:from>
      <xdr:col>4</xdr:col>
      <xdr:colOff>609600</xdr:colOff>
      <xdr:row>3</xdr:row>
      <xdr:rowOff>47625</xdr:rowOff>
    </xdr:from>
    <xdr:to>
      <xdr:col>5</xdr:col>
      <xdr:colOff>1095375</xdr:colOff>
      <xdr:row>5</xdr:row>
      <xdr:rowOff>171450</xdr:rowOff>
    </xdr:to>
    <xdr:sp macro="" textlink="">
      <xdr:nvSpPr>
        <xdr:cNvPr id="3" name="Llamada rectangular redondead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248400" y="619125"/>
          <a:ext cx="1600200" cy="504825"/>
        </a:xfrm>
        <a:prstGeom prst="wedgeRoundRectCallou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O" sz="2000" b="1"/>
            <a:t>SALIDAS</a:t>
          </a:r>
          <a:r>
            <a:rPr lang="es-CO" sz="2000" b="1" baseline="0"/>
            <a:t> </a:t>
          </a:r>
          <a:endParaRPr lang="es-CO" sz="2000" b="1"/>
        </a:p>
      </xdr:txBody>
    </xdr:sp>
    <xdr:clientData/>
  </xdr:twoCellAnchor>
  <xdr:twoCellAnchor>
    <xdr:from>
      <xdr:col>6</xdr:col>
      <xdr:colOff>123825</xdr:colOff>
      <xdr:row>2</xdr:row>
      <xdr:rowOff>28575</xdr:rowOff>
    </xdr:from>
    <xdr:to>
      <xdr:col>6</xdr:col>
      <xdr:colOff>1047750</xdr:colOff>
      <xdr:row>5</xdr:row>
      <xdr:rowOff>266701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8020050" y="409575"/>
          <a:ext cx="923925" cy="809626"/>
          <a:chOff x="8201025" y="323850"/>
          <a:chExt cx="1028700" cy="981075"/>
        </a:xfrm>
      </xdr:grpSpPr>
      <xdr:sp macro="" textlink="">
        <xdr:nvSpPr>
          <xdr:cNvPr id="5" name="Rectángulo redondeado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8201025" y="323850"/>
            <a:ext cx="1028700" cy="981075"/>
          </a:xfrm>
          <a:prstGeom prst="round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pic>
        <xdr:nvPicPr>
          <xdr:cNvPr id="6" name="Imagen 5" descr="Ilustración de lupa PNG transparente - StickPNG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5650679">
            <a:off x="8258176" y="381002"/>
            <a:ext cx="847723" cy="84772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95250</xdr:colOff>
      <xdr:row>5</xdr:row>
      <xdr:rowOff>253102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9675" cy="120560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742950</xdr:colOff>
      <xdr:row>3</xdr:row>
      <xdr:rowOff>28575</xdr:rowOff>
    </xdr:from>
    <xdr:to>
      <xdr:col>4</xdr:col>
      <xdr:colOff>19050</xdr:colOff>
      <xdr:row>7</xdr:row>
      <xdr:rowOff>19050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A90B9D89-EF61-40F6-A63F-531FA7D98AA0}"/>
            </a:ext>
          </a:extLst>
        </xdr:cNvPr>
        <xdr:cNvCxnSpPr/>
      </xdr:nvCxnSpPr>
      <xdr:spPr>
        <a:xfrm>
          <a:off x="2266950" y="600075"/>
          <a:ext cx="800100" cy="75247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</xdr:row>
      <xdr:rowOff>19050</xdr:rowOff>
    </xdr:from>
    <xdr:to>
      <xdr:col>7</xdr:col>
      <xdr:colOff>28575</xdr:colOff>
      <xdr:row>7</xdr:row>
      <xdr:rowOff>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E1F331FF-A3F7-4352-B2D3-9113B8DCA635}"/>
            </a:ext>
          </a:extLst>
        </xdr:cNvPr>
        <xdr:cNvCxnSpPr/>
      </xdr:nvCxnSpPr>
      <xdr:spPr>
        <a:xfrm flipH="1">
          <a:off x="4924425" y="590550"/>
          <a:ext cx="781050" cy="74295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933450</xdr:colOff>
      <xdr:row>8</xdr:row>
      <xdr:rowOff>0</xdr:rowOff>
    </xdr:from>
    <xdr:to>
      <xdr:col>5</xdr:col>
      <xdr:colOff>9525</xdr:colOff>
      <xdr:row>14</xdr:row>
      <xdr:rowOff>28575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11DEAA8E-CA71-4B1B-8D09-B8FD71B8A7F9}"/>
            </a:ext>
          </a:extLst>
        </xdr:cNvPr>
        <xdr:cNvCxnSpPr/>
      </xdr:nvCxnSpPr>
      <xdr:spPr>
        <a:xfrm>
          <a:off x="3981450" y="1524000"/>
          <a:ext cx="19050" cy="117157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15</xdr:row>
      <xdr:rowOff>19050</xdr:rowOff>
    </xdr:from>
    <xdr:to>
      <xdr:col>5</xdr:col>
      <xdr:colOff>9525</xdr:colOff>
      <xdr:row>21</xdr:row>
      <xdr:rowOff>66675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3DE26018-6A14-4ACE-9941-F48C193156CB}"/>
            </a:ext>
          </a:extLst>
        </xdr:cNvPr>
        <xdr:cNvCxnSpPr/>
      </xdr:nvCxnSpPr>
      <xdr:spPr>
        <a:xfrm>
          <a:off x="3990975" y="2876550"/>
          <a:ext cx="9525" cy="119062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Productos" displayName="Productos" ref="B9:I30" totalsRowShown="0" headerRowDxfId="40" dataDxfId="39">
  <autoFilter ref="B9:I30" xr:uid="{00000000-0009-0000-0100-000002000000}"/>
  <tableColumns count="8">
    <tableColumn id="1" xr3:uid="{00000000-0010-0000-0000-000001000000}" name="Cod_producto" dataDxfId="38"/>
    <tableColumn id="2" xr3:uid="{00000000-0010-0000-0000-000002000000}" name="Producto" dataDxfId="37"/>
    <tableColumn id="8" xr3:uid="{00000000-0010-0000-0000-000008000000}" name="Descripcion" dataDxfId="36"/>
    <tableColumn id="7" xr3:uid="{00000000-0010-0000-0000-000007000000}" name="Precio Unitario" dataDxfId="35"/>
    <tableColumn id="3" xr3:uid="{00000000-0010-0000-0000-000003000000}" name="Entradas" dataDxfId="34">
      <calculatedColumnFormula>SUMIFS(Entradas[Cantidad],Entradas[Cod_producto],Productos[[#This Row],[Cod_producto]])</calculatedColumnFormula>
    </tableColumn>
    <tableColumn id="4" xr3:uid="{00000000-0010-0000-0000-000004000000}" name="Salidas" dataDxfId="33">
      <calculatedColumnFormula>SUMIFS(Salidas[Cantidad],Salidas[Cod_producto],Productos[[#This Row],[Cod_producto]])</calculatedColumnFormula>
    </tableColumn>
    <tableColumn id="5" xr3:uid="{00000000-0010-0000-0000-000005000000}" name="Stock" dataDxfId="32">
      <calculatedColumnFormula>Productos[[#This Row],[Entradas]]-Productos[[#This Row],[Salidas]]</calculatedColumnFormula>
    </tableColumn>
    <tableColumn id="6" xr3:uid="{00000000-0010-0000-0000-000006000000}" name="Categoria" dataDxfId="31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Entradas" displayName="Entradas" ref="B7:F29" totalsRowShown="0" headerRowDxfId="30" dataDxfId="28" headerRowBorderDxfId="29" tableBorderDxfId="27" totalsRowBorderDxfId="26">
  <autoFilter ref="B7:F29" xr:uid="{00000000-0009-0000-0100-000003000000}"/>
  <tableColumns count="5">
    <tableColumn id="1" xr3:uid="{00000000-0010-0000-0100-000001000000}" name="N° Factura" dataDxfId="25"/>
    <tableColumn id="2" xr3:uid="{00000000-0010-0000-0100-000002000000}" name="Fecha" dataDxfId="24">
      <calculatedColumnFormula>NOW()</calculatedColumnFormula>
    </tableColumn>
    <tableColumn id="3" xr3:uid="{00000000-0010-0000-0100-000003000000}" name="Cod_producto" dataDxfId="23"/>
    <tableColumn id="4" xr3:uid="{00000000-0010-0000-0100-000004000000}" name="Descripción" dataDxfId="22">
      <calculatedColumnFormula>VLOOKUP(Entradas[[#This Row],[Cod_producto]],Productos[],2,)</calculatedColumnFormula>
    </tableColumn>
    <tableColumn id="5" xr3:uid="{00000000-0010-0000-0100-000005000000}" name="Cantidad" dataDxfId="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Salidas" displayName="Salidas" ref="B7:F9" totalsRowShown="0" headerRowDxfId="20" dataDxfId="19">
  <autoFilter ref="B7:F9" xr:uid="{00000000-0009-0000-0100-000004000000}"/>
  <tableColumns count="5">
    <tableColumn id="1" xr3:uid="{00000000-0010-0000-0200-000001000000}" name="N° Factura" dataDxfId="18"/>
    <tableColumn id="2" xr3:uid="{00000000-0010-0000-0200-000002000000}" name="Fecha" dataDxfId="17"/>
    <tableColumn id="3" xr3:uid="{00000000-0010-0000-0200-000003000000}" name="Cod_producto" dataDxfId="16"/>
    <tableColumn id="4" xr3:uid="{00000000-0010-0000-0200-000004000000}" name="Descripción" dataDxfId="15">
      <calculatedColumnFormula>VLOOKUP(Salidas[[#This Row],[Cod_producto]],Productos[],2,FALSE)</calculatedColumnFormula>
    </tableColumn>
    <tableColumn id="5" xr3:uid="{00000000-0010-0000-0200-000005000000}" name="Cantidad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Categorias" displayName="Categorias" ref="C8:C17" insertRowShift="1" totalsRowShown="0" headerRowDxfId="13" dataDxfId="11" headerRowBorderDxfId="12" tableBorderDxfId="10" totalsRowBorderDxfId="9">
  <autoFilter ref="C8:C17" xr:uid="{00000000-0009-0000-0100-000001000000}"/>
  <tableColumns count="1">
    <tableColumn id="1" xr3:uid="{00000000-0010-0000-0300-000001000000}" name="Cartegorias de Productos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2" displayName="Tabla2" ref="B3:G24" totalsRowShown="0" headerRowDxfId="7">
  <autoFilter ref="B3:G24" xr:uid="{00000000-0009-0000-0100-000005000000}"/>
  <tableColumns count="6">
    <tableColumn id="1" xr3:uid="{00000000-0010-0000-0400-000001000000}" name="ID" dataDxfId="6"/>
    <tableColumn id="2" xr3:uid="{00000000-0010-0000-0400-000002000000}" name="NOMBRES"/>
    <tableColumn id="3" xr3:uid="{00000000-0010-0000-0400-000003000000}" name="APELLIDOS"/>
    <tableColumn id="4" xr3:uid="{00000000-0010-0000-0400-000004000000}" name="TELEFONO" dataDxfId="5"/>
    <tableColumn id="5" xr3:uid="{00000000-0010-0000-0400-000005000000}" name="DIRRECION "/>
    <tableColumn id="6" xr3:uid="{00000000-0010-0000-0400-000006000000}" name="EMAIL" dataCellStyle="Hyperlink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B3:D7" totalsRowShown="0" headerRowDxfId="4" dataDxfId="3">
  <autoFilter ref="B3:D7" xr:uid="{00000000-0009-0000-0100-000006000000}"/>
  <tableColumns count="3">
    <tableColumn id="1" xr3:uid="{00000000-0010-0000-0500-000001000000}" name="Documento" dataDxfId="2"/>
    <tableColumn id="2" xr3:uid="{00000000-0010-0000-0500-000002000000}" name="Nombres" dataDxfId="1"/>
    <tableColumn id="3" xr3:uid="{00000000-0010-0000-0500-000003000000}" name="Apellidos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Camiloandresosoriocolmenares@gmail.com" TargetMode="External"/><Relationship Id="rId13" Type="http://schemas.openxmlformats.org/officeDocument/2006/relationships/hyperlink" Target="mailto:calopez2651@misena.edu.co" TargetMode="External"/><Relationship Id="rId18" Type="http://schemas.openxmlformats.org/officeDocument/2006/relationships/hyperlink" Target="mailto:kpulido857@misena.edu.co" TargetMode="External"/><Relationship Id="rId3" Type="http://schemas.openxmlformats.org/officeDocument/2006/relationships/hyperlink" Target="mailto:afmonroy34@misena.edu.co" TargetMode="External"/><Relationship Id="rId21" Type="http://schemas.openxmlformats.org/officeDocument/2006/relationships/hyperlink" Target="mailto:espinelsharon@gmail.com" TargetMode="External"/><Relationship Id="rId7" Type="http://schemas.openxmlformats.org/officeDocument/2006/relationships/hyperlink" Target="mailto:ylmoreno243@misena.edu.co" TargetMode="External"/><Relationship Id="rId12" Type="http://schemas.openxmlformats.org/officeDocument/2006/relationships/hyperlink" Target="mailto:gdvargas35@misena.edu.co" TargetMode="External"/><Relationship Id="rId17" Type="http://schemas.openxmlformats.org/officeDocument/2006/relationships/hyperlink" Target="mailto:Dvfonseca94@misena.edu.co" TargetMode="External"/><Relationship Id="rId2" Type="http://schemas.openxmlformats.org/officeDocument/2006/relationships/hyperlink" Target="mailto:samicasta11@gmail.com" TargetMode="External"/><Relationship Id="rId16" Type="http://schemas.openxmlformats.org/officeDocument/2006/relationships/hyperlink" Target="mailto:vcriollo6@misena.edu.co" TargetMode="External"/><Relationship Id="rId20" Type="http://schemas.openxmlformats.org/officeDocument/2006/relationships/hyperlink" Target="mailto:miltonstivenpinzon@gmail.com" TargetMode="External"/><Relationship Id="rId1" Type="http://schemas.openxmlformats.org/officeDocument/2006/relationships/hyperlink" Target="mailto:aforjuela11@misena.edu.co" TargetMode="External"/><Relationship Id="rId6" Type="http://schemas.openxmlformats.org/officeDocument/2006/relationships/hyperlink" Target="mailto:mapu302929@gmail.com" TargetMode="External"/><Relationship Id="rId11" Type="http://schemas.openxmlformats.org/officeDocument/2006/relationships/hyperlink" Target="mailto:sdcorrea60@misena.edu.co" TargetMode="External"/><Relationship Id="rId5" Type="http://schemas.openxmlformats.org/officeDocument/2006/relationships/hyperlink" Target="mailto:hlcano76@misena.edu.co" TargetMode="External"/><Relationship Id="rId15" Type="http://schemas.openxmlformats.org/officeDocument/2006/relationships/hyperlink" Target="mailto:vgrillo@misena.edu.co" TargetMode="External"/><Relationship Id="rId10" Type="http://schemas.openxmlformats.org/officeDocument/2006/relationships/hyperlink" Target="mailto:Bapuello9@misena.edu.co" TargetMode="External"/><Relationship Id="rId19" Type="http://schemas.openxmlformats.org/officeDocument/2006/relationships/hyperlink" Target="mailto:contreraslopezjuanpablo026@gmail.com" TargetMode="External"/><Relationship Id="rId4" Type="http://schemas.openxmlformats.org/officeDocument/2006/relationships/hyperlink" Target="mailto:jdcamargo853@misena.edu.co" TargetMode="External"/><Relationship Id="rId9" Type="http://schemas.openxmlformats.org/officeDocument/2006/relationships/hyperlink" Target="mailto:Jcrussi6@misena.edu.co" TargetMode="External"/><Relationship Id="rId14" Type="http://schemas.openxmlformats.org/officeDocument/2006/relationships/hyperlink" Target="mailto:Mariiovelez15@gmail.com" TargetMode="External"/><Relationship Id="rId22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ylmoreno243@misena.edu.co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mailto:ylmoreno243@misena.edu.co" TargetMode="External"/><Relationship Id="rId3" Type="http://schemas.openxmlformats.org/officeDocument/2006/relationships/hyperlink" Target="mailto:ylmoreno243@misena.edu.co" TargetMode="External"/><Relationship Id="rId7" Type="http://schemas.openxmlformats.org/officeDocument/2006/relationships/hyperlink" Target="mailto:ylmoreno243@misena.edu.co" TargetMode="External"/><Relationship Id="rId2" Type="http://schemas.openxmlformats.org/officeDocument/2006/relationships/hyperlink" Target="mailto:ylmoreno243@misena.edu.co" TargetMode="External"/><Relationship Id="rId1" Type="http://schemas.openxmlformats.org/officeDocument/2006/relationships/hyperlink" Target="mailto:ylmoreno243@misena.edu.co" TargetMode="External"/><Relationship Id="rId6" Type="http://schemas.openxmlformats.org/officeDocument/2006/relationships/hyperlink" Target="mailto:ylmoreno243@misena.edu.co" TargetMode="External"/><Relationship Id="rId5" Type="http://schemas.openxmlformats.org/officeDocument/2006/relationships/hyperlink" Target="mailto:ylmoreno243@misena.edu.co" TargetMode="External"/><Relationship Id="rId10" Type="http://schemas.openxmlformats.org/officeDocument/2006/relationships/hyperlink" Target="mailto:ylmoreno243@misena.edu.co" TargetMode="External"/><Relationship Id="rId4" Type="http://schemas.openxmlformats.org/officeDocument/2006/relationships/hyperlink" Target="mailto:ylmoreno243@misena.edu.co" TargetMode="External"/><Relationship Id="rId9" Type="http://schemas.openxmlformats.org/officeDocument/2006/relationships/hyperlink" Target="mailto:ylmoreno243@misena.edu.co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ylmoreno243@misena.edu.co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ylmoreno243@misena.edu.co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7:I30"/>
  <sheetViews>
    <sheetView showGridLines="0" workbookViewId="0">
      <selection activeCell="I14" sqref="I14"/>
    </sheetView>
  </sheetViews>
  <sheetFormatPr baseColWidth="10" defaultRowHeight="15"/>
  <cols>
    <col min="2" max="2" width="15.5703125" customWidth="1"/>
    <col min="3" max="3" width="16.85546875" bestFit="1" customWidth="1"/>
    <col min="4" max="4" width="18.28515625" customWidth="1"/>
    <col min="5" max="5" width="14.140625" customWidth="1"/>
    <col min="6" max="6" width="9.42578125" bestFit="1" customWidth="1"/>
    <col min="7" max="7" width="19.5703125" customWidth="1"/>
    <col min="8" max="8" width="17.7109375" bestFit="1" customWidth="1"/>
    <col min="9" max="9" width="15.42578125" bestFit="1" customWidth="1"/>
  </cols>
  <sheetData>
    <row r="7" spans="2:9" ht="19.5" thickBot="1">
      <c r="B7" s="102" t="s">
        <v>5</v>
      </c>
      <c r="C7" s="102"/>
      <c r="D7" s="102"/>
      <c r="E7" s="102"/>
      <c r="F7" s="102"/>
      <c r="G7" s="102"/>
      <c r="H7" s="102"/>
    </row>
    <row r="8" spans="2:9" ht="15.75" thickTop="1">
      <c r="C8" s="1"/>
    </row>
    <row r="9" spans="2:9" ht="35.25" customHeight="1">
      <c r="B9" s="4" t="s">
        <v>0</v>
      </c>
      <c r="C9" s="4" t="s">
        <v>179</v>
      </c>
      <c r="D9" s="4" t="s">
        <v>178</v>
      </c>
      <c r="E9" s="4" t="s">
        <v>177</v>
      </c>
      <c r="F9" s="4" t="s">
        <v>2</v>
      </c>
      <c r="G9" s="4" t="s">
        <v>3</v>
      </c>
      <c r="H9" s="4" t="s">
        <v>4</v>
      </c>
      <c r="I9" s="16" t="s">
        <v>73</v>
      </c>
    </row>
    <row r="10" spans="2:9" ht="30">
      <c r="B10" s="5" t="s">
        <v>26</v>
      </c>
      <c r="C10" s="3" t="s">
        <v>6</v>
      </c>
      <c r="D10" s="27" t="s">
        <v>180</v>
      </c>
      <c r="E10" s="28">
        <v>6000</v>
      </c>
      <c r="F10" s="3">
        <f>SUMIFS(Entradas[Cantidad],Entradas[Cod_producto],Productos[[#This Row],[Cod_producto]])</f>
        <v>8</v>
      </c>
      <c r="G10" s="3">
        <f>SUMIFS(Salidas[Cantidad],Salidas[Cod_producto],Productos[[#This Row],[Cod_producto]])</f>
        <v>0</v>
      </c>
      <c r="H10" s="3">
        <f>Productos[[#This Row],[Entradas]]-Productos[[#This Row],[Salidas]]</f>
        <v>8</v>
      </c>
      <c r="I10" s="19" t="s">
        <v>81</v>
      </c>
    </row>
    <row r="11" spans="2:9" ht="30">
      <c r="B11" s="5" t="s">
        <v>27</v>
      </c>
      <c r="C11" s="3" t="s">
        <v>7</v>
      </c>
      <c r="D11" s="27" t="s">
        <v>181</v>
      </c>
      <c r="E11" s="28">
        <v>5500</v>
      </c>
      <c r="F11" s="3">
        <f>SUMIFS(Entradas[Cantidad],Entradas[Cod_producto],Productos[[#This Row],[Cod_producto]])</f>
        <v>3</v>
      </c>
      <c r="G11" s="3">
        <f>SUMIFS(Salidas[Cantidad],Salidas[Cod_producto],Productos[[#This Row],[Cod_producto]])</f>
        <v>2</v>
      </c>
      <c r="H11" s="3">
        <f>Productos[[#This Row],[Entradas]]-Productos[[#This Row],[Salidas]]</f>
        <v>1</v>
      </c>
      <c r="I11" s="20" t="s">
        <v>81</v>
      </c>
    </row>
    <row r="12" spans="2:9" ht="32.25" customHeight="1">
      <c r="B12" s="5" t="s">
        <v>28</v>
      </c>
      <c r="C12" s="3" t="s">
        <v>8</v>
      </c>
      <c r="D12" s="27" t="s">
        <v>182</v>
      </c>
      <c r="E12" s="28">
        <v>20000</v>
      </c>
      <c r="F12" s="3">
        <f>SUMIFS(Entradas[Cantidad],Entradas[Cod_producto],Productos[[#This Row],[Cod_producto]])</f>
        <v>30</v>
      </c>
      <c r="G12" s="3">
        <f>SUMIFS(Salidas[Cantidad],Salidas[Cod_producto],Productos[[#This Row],[Cod_producto]])</f>
        <v>0</v>
      </c>
      <c r="H12" s="3">
        <f>Productos[[#This Row],[Entradas]]-Productos[[#This Row],[Salidas]]</f>
        <v>30</v>
      </c>
      <c r="I12" s="20" t="s">
        <v>80</v>
      </c>
    </row>
    <row r="13" spans="2:9">
      <c r="B13" s="5" t="s">
        <v>29</v>
      </c>
      <c r="C13" s="3" t="s">
        <v>9</v>
      </c>
      <c r="D13" s="29" t="s">
        <v>183</v>
      </c>
      <c r="E13" s="28">
        <v>9000</v>
      </c>
      <c r="F13" s="3">
        <f>SUMIFS(Entradas[Cantidad],Entradas[Cod_producto],Productos[[#This Row],[Cod_producto]])</f>
        <v>20</v>
      </c>
      <c r="G13" s="3">
        <f>SUMIFS(Salidas[Cantidad],Salidas[Cod_producto],Productos[[#This Row],[Cod_producto]])</f>
        <v>10</v>
      </c>
      <c r="H13" s="3">
        <f>Productos[[#This Row],[Entradas]]-Productos[[#This Row],[Salidas]]</f>
        <v>10</v>
      </c>
      <c r="I13" s="20" t="s">
        <v>75</v>
      </c>
    </row>
    <row r="14" spans="2:9">
      <c r="B14" s="5" t="s">
        <v>30</v>
      </c>
      <c r="C14" s="3" t="s">
        <v>10</v>
      </c>
      <c r="D14" s="29" t="s">
        <v>184</v>
      </c>
      <c r="E14" s="28">
        <v>1700</v>
      </c>
      <c r="F14" s="3">
        <f>SUMIFS(Entradas[Cantidad],Entradas[Cod_producto],Productos[[#This Row],[Cod_producto]])</f>
        <v>4</v>
      </c>
      <c r="G14" s="3">
        <f>SUMIFS(Salidas[Cantidad],Salidas[Cod_producto],Productos[[#This Row],[Cod_producto]])</f>
        <v>0</v>
      </c>
      <c r="H14" s="3">
        <f>Productos[[#This Row],[Entradas]]-Productos[[#This Row],[Salidas]]</f>
        <v>4</v>
      </c>
      <c r="I14" s="20" t="s">
        <v>75</v>
      </c>
    </row>
    <row r="15" spans="2:9">
      <c r="B15" s="5" t="s">
        <v>31</v>
      </c>
      <c r="C15" s="3" t="s">
        <v>11</v>
      </c>
      <c r="D15" s="29" t="s">
        <v>185</v>
      </c>
      <c r="E15" s="28">
        <v>2000</v>
      </c>
      <c r="F15" s="3">
        <f>SUMIFS(Entradas[Cantidad],Entradas[Cod_producto],Productos[[#This Row],[Cod_producto]])</f>
        <v>5</v>
      </c>
      <c r="G15" s="3">
        <f>SUMIFS(Salidas[Cantidad],Salidas[Cod_producto],Productos[[#This Row],[Cod_producto]])</f>
        <v>0</v>
      </c>
      <c r="H15" s="3">
        <f>Productos[[#This Row],[Entradas]]-Productos[[#This Row],[Salidas]]</f>
        <v>5</v>
      </c>
      <c r="I15" s="20" t="s">
        <v>75</v>
      </c>
    </row>
    <row r="16" spans="2:9" ht="30">
      <c r="B16" s="5" t="s">
        <v>32</v>
      </c>
      <c r="C16" s="3" t="s">
        <v>12</v>
      </c>
      <c r="D16" s="29" t="s">
        <v>186</v>
      </c>
      <c r="E16" s="28">
        <v>8500</v>
      </c>
      <c r="F16" s="3">
        <f>SUMIFS(Entradas[Cantidad],Entradas[Cod_producto],Productos[[#This Row],[Cod_producto]])</f>
        <v>4</v>
      </c>
      <c r="G16" s="3">
        <f>SUMIFS(Salidas[Cantidad],Salidas[Cod_producto],Productos[[#This Row],[Cod_producto]])</f>
        <v>0</v>
      </c>
      <c r="H16" s="3">
        <f>Productos[[#This Row],[Entradas]]-Productos[[#This Row],[Salidas]]</f>
        <v>4</v>
      </c>
      <c r="I16" s="20" t="s">
        <v>81</v>
      </c>
    </row>
    <row r="17" spans="2:9">
      <c r="B17" s="5" t="s">
        <v>33</v>
      </c>
      <c r="C17" s="3" t="s">
        <v>13</v>
      </c>
      <c r="D17" s="29" t="s">
        <v>187</v>
      </c>
      <c r="E17" s="28">
        <v>1100</v>
      </c>
      <c r="F17" s="3">
        <f>SUMIFS(Entradas[Cantidad],Entradas[Cod_producto],Productos[[#This Row],[Cod_producto]])</f>
        <v>3</v>
      </c>
      <c r="G17" s="3">
        <f>SUMIFS(Salidas[Cantidad],Salidas[Cod_producto],Productos[[#This Row],[Cod_producto]])</f>
        <v>0</v>
      </c>
      <c r="H17" s="3">
        <f>Productos[[#This Row],[Entradas]]-Productos[[#This Row],[Salidas]]</f>
        <v>3</v>
      </c>
      <c r="I17" s="20" t="s">
        <v>75</v>
      </c>
    </row>
    <row r="18" spans="2:9" ht="32.25" customHeight="1">
      <c r="B18" s="5" t="s">
        <v>34</v>
      </c>
      <c r="C18" s="3" t="s">
        <v>14</v>
      </c>
      <c r="D18" s="29" t="s">
        <v>188</v>
      </c>
      <c r="E18" s="28">
        <v>1100</v>
      </c>
      <c r="F18" s="3">
        <f>SUMIFS(Entradas[Cantidad],Entradas[Cod_producto],Productos[[#This Row],[Cod_producto]])</f>
        <v>2</v>
      </c>
      <c r="G18" s="3">
        <f>SUMIFS(Salidas[Cantidad],Salidas[Cod_producto],Productos[[#This Row],[Cod_producto]])</f>
        <v>0</v>
      </c>
      <c r="H18" s="3">
        <f>Productos[[#This Row],[Entradas]]-Productos[[#This Row],[Salidas]]</f>
        <v>2</v>
      </c>
      <c r="I18" s="20" t="s">
        <v>77</v>
      </c>
    </row>
    <row r="19" spans="2:9">
      <c r="B19" s="5" t="s">
        <v>35</v>
      </c>
      <c r="C19" s="3" t="s">
        <v>301</v>
      </c>
      <c r="D19" s="29" t="s">
        <v>302</v>
      </c>
      <c r="E19" s="28">
        <v>20000</v>
      </c>
      <c r="F19" s="3">
        <f>SUMIFS(Entradas[Cantidad],Entradas[Cod_producto],Productos[[#This Row],[Cod_producto]])</f>
        <v>4</v>
      </c>
      <c r="G19" s="3">
        <f>SUMIFS(Salidas[Cantidad],Salidas[Cod_producto],Productos[[#This Row],[Cod_producto]])</f>
        <v>0</v>
      </c>
      <c r="H19" s="3">
        <f>Productos[[#This Row],[Entradas]]-Productos[[#This Row],[Salidas]]</f>
        <v>4</v>
      </c>
      <c r="I19" s="20" t="s">
        <v>82</v>
      </c>
    </row>
    <row r="20" spans="2:9" ht="45">
      <c r="B20" s="5" t="s">
        <v>36</v>
      </c>
      <c r="C20" s="3" t="s">
        <v>16</v>
      </c>
      <c r="D20" s="29" t="s">
        <v>189</v>
      </c>
      <c r="E20" s="28">
        <v>5900</v>
      </c>
      <c r="F20" s="3">
        <f>SUMIFS(Entradas[Cantidad],Entradas[Cod_producto],Productos[[#This Row],[Cod_producto]])</f>
        <v>1</v>
      </c>
      <c r="G20" s="3">
        <f>SUMIFS(Salidas[Cantidad],Salidas[Cod_producto],Productos[[#This Row],[Cod_producto]])</f>
        <v>0</v>
      </c>
      <c r="H20" s="3">
        <f>Productos[[#This Row],[Entradas]]-Productos[[#This Row],[Salidas]]</f>
        <v>1</v>
      </c>
      <c r="I20" s="20" t="s">
        <v>78</v>
      </c>
    </row>
    <row r="21" spans="2:9" ht="32.25" customHeight="1">
      <c r="B21" s="5" t="s">
        <v>37</v>
      </c>
      <c r="C21" s="3" t="s">
        <v>17</v>
      </c>
      <c r="D21" s="27" t="s">
        <v>190</v>
      </c>
      <c r="E21" s="28">
        <v>13900</v>
      </c>
      <c r="F21" s="3">
        <f>SUMIFS(Entradas[Cantidad],Entradas[Cod_producto],Productos[[#This Row],[Cod_producto]])</f>
        <v>5</v>
      </c>
      <c r="G21" s="3">
        <f>SUMIFS(Salidas[Cantidad],Salidas[Cod_producto],Productos[[#This Row],[Cod_producto]])</f>
        <v>0</v>
      </c>
      <c r="H21" s="3">
        <f>Productos[[#This Row],[Entradas]]-Productos[[#This Row],[Salidas]]</f>
        <v>5</v>
      </c>
      <c r="I21" s="20" t="s">
        <v>77</v>
      </c>
    </row>
    <row r="22" spans="2:9">
      <c r="B22" s="5" t="s">
        <v>38</v>
      </c>
      <c r="C22" s="3" t="s">
        <v>191</v>
      </c>
      <c r="D22" s="27" t="s">
        <v>192</v>
      </c>
      <c r="E22" s="28">
        <v>2500</v>
      </c>
      <c r="F22" s="3">
        <f>SUMIFS(Entradas[Cantidad],Entradas[Cod_producto],Productos[[#This Row],[Cod_producto]])</f>
        <v>2</v>
      </c>
      <c r="G22" s="3">
        <f>SUMIFS(Salidas[Cantidad],Salidas[Cod_producto],Productos[[#This Row],[Cod_producto]])</f>
        <v>0</v>
      </c>
      <c r="H22" s="3">
        <f>Productos[[#This Row],[Entradas]]-Productos[[#This Row],[Salidas]]</f>
        <v>2</v>
      </c>
      <c r="I22" s="20" t="s">
        <v>83</v>
      </c>
    </row>
    <row r="23" spans="2:9" ht="30">
      <c r="B23" s="5" t="s">
        <v>39</v>
      </c>
      <c r="C23" s="3" t="s">
        <v>18</v>
      </c>
      <c r="D23" s="27" t="s">
        <v>225</v>
      </c>
      <c r="E23" s="28">
        <v>2000</v>
      </c>
      <c r="F23" s="3">
        <f>SUMIFS(Entradas[Cantidad],Entradas[Cod_producto],Productos[[#This Row],[Cod_producto]])</f>
        <v>1</v>
      </c>
      <c r="G23" s="3">
        <f>SUMIFS(Salidas[Cantidad],Salidas[Cod_producto],Productos[[#This Row],[Cod_producto]])</f>
        <v>0</v>
      </c>
      <c r="H23" s="3">
        <f>Productos[[#This Row],[Entradas]]-Productos[[#This Row],[Salidas]]</f>
        <v>1</v>
      </c>
      <c r="I23" s="20" t="s">
        <v>79</v>
      </c>
    </row>
    <row r="24" spans="2:9" ht="45">
      <c r="B24" s="5" t="s">
        <v>40</v>
      </c>
      <c r="C24" s="3" t="s">
        <v>19</v>
      </c>
      <c r="D24" s="27" t="s">
        <v>193</v>
      </c>
      <c r="E24" s="28">
        <v>2000</v>
      </c>
      <c r="F24" s="3">
        <f>SUMIFS(Entradas[Cantidad],Entradas[Cod_producto],Productos[[#This Row],[Cod_producto]])</f>
        <v>1</v>
      </c>
      <c r="G24" s="3">
        <f>SUMIFS(Salidas[Cantidad],Salidas[Cod_producto],Productos[[#This Row],[Cod_producto]])</f>
        <v>0</v>
      </c>
      <c r="H24" s="3">
        <f>Productos[[#This Row],[Entradas]]-Productos[[#This Row],[Salidas]]</f>
        <v>1</v>
      </c>
      <c r="I24" s="20" t="s">
        <v>78</v>
      </c>
    </row>
    <row r="25" spans="2:9" ht="30">
      <c r="B25" s="5" t="s">
        <v>41</v>
      </c>
      <c r="C25" s="3" t="s">
        <v>20</v>
      </c>
      <c r="D25" s="27" t="s">
        <v>194</v>
      </c>
      <c r="E25" s="28">
        <v>10000</v>
      </c>
      <c r="F25" s="3">
        <f>SUMIFS(Entradas[Cantidad],Entradas[Cod_producto],Productos[[#This Row],[Cod_producto]])</f>
        <v>2</v>
      </c>
      <c r="G25" s="3">
        <f>SUMIFS(Salidas[Cantidad],Salidas[Cod_producto],Productos[[#This Row],[Cod_producto]])</f>
        <v>0</v>
      </c>
      <c r="H25" s="3">
        <f>Productos[[#This Row],[Entradas]]-Productos[[#This Row],[Salidas]]</f>
        <v>2</v>
      </c>
      <c r="I25" s="20" t="s">
        <v>76</v>
      </c>
    </row>
    <row r="26" spans="2:9" ht="45">
      <c r="B26" s="5" t="s">
        <v>42</v>
      </c>
      <c r="C26" s="3" t="s">
        <v>21</v>
      </c>
      <c r="D26" s="27" t="s">
        <v>195</v>
      </c>
      <c r="E26" s="28">
        <v>2200</v>
      </c>
      <c r="F26" s="3">
        <f>SUMIFS(Entradas[Cantidad],Entradas[Cod_producto],Productos[[#This Row],[Cod_producto]])</f>
        <v>4</v>
      </c>
      <c r="G26" s="3">
        <f>SUMIFS(Salidas[Cantidad],Salidas[Cod_producto],Productos[[#This Row],[Cod_producto]])</f>
        <v>0</v>
      </c>
      <c r="H26" s="3">
        <f>Productos[[#This Row],[Entradas]]-Productos[[#This Row],[Salidas]]</f>
        <v>4</v>
      </c>
      <c r="I26" s="20" t="s">
        <v>78</v>
      </c>
    </row>
    <row r="27" spans="2:9" ht="30">
      <c r="B27" s="5" t="s">
        <v>43</v>
      </c>
      <c r="C27" s="3" t="s">
        <v>22</v>
      </c>
      <c r="D27" s="27" t="s">
        <v>196</v>
      </c>
      <c r="E27" s="28">
        <v>1500</v>
      </c>
      <c r="F27" s="3">
        <f>SUMIFS(Entradas[Cantidad],Entradas[Cod_producto],Productos[[#This Row],[Cod_producto]])</f>
        <v>3</v>
      </c>
      <c r="G27" s="3">
        <f>SUMIFS(Salidas[Cantidad],Salidas[Cod_producto],Productos[[#This Row],[Cod_producto]])</f>
        <v>0</v>
      </c>
      <c r="H27" s="3">
        <f>Productos[[#This Row],[Entradas]]-Productos[[#This Row],[Salidas]]</f>
        <v>3</v>
      </c>
      <c r="I27" s="20" t="s">
        <v>79</v>
      </c>
    </row>
    <row r="28" spans="2:9" ht="30">
      <c r="B28" s="5" t="s">
        <v>44</v>
      </c>
      <c r="C28" s="3" t="s">
        <v>23</v>
      </c>
      <c r="D28" s="29" t="s">
        <v>197</v>
      </c>
      <c r="E28" s="28">
        <v>1100</v>
      </c>
      <c r="F28" s="3">
        <f>SUMIFS(Entradas[Cantidad],Entradas[Cod_producto],Productos[[#This Row],[Cod_producto]])</f>
        <v>4</v>
      </c>
      <c r="G28" s="3">
        <f>SUMIFS(Salidas[Cantidad],Salidas[Cod_producto],Productos[[#This Row],[Cod_producto]])</f>
        <v>0</v>
      </c>
      <c r="H28" s="3">
        <f>Productos[[#This Row],[Entradas]]-Productos[[#This Row],[Salidas]]</f>
        <v>4</v>
      </c>
      <c r="I28" s="20" t="s">
        <v>76</v>
      </c>
    </row>
    <row r="29" spans="2:9" ht="30">
      <c r="B29" s="5" t="s">
        <v>45</v>
      </c>
      <c r="C29" s="3" t="s">
        <v>24</v>
      </c>
      <c r="D29" s="29" t="s">
        <v>198</v>
      </c>
      <c r="E29" s="28">
        <v>9000</v>
      </c>
      <c r="F29" s="3">
        <f>SUMIFS(Entradas[Cantidad],Entradas[Cod_producto],Productos[[#This Row],[Cod_producto]])</f>
        <v>5</v>
      </c>
      <c r="G29" s="3">
        <f>SUMIFS(Salidas[Cantidad],Salidas[Cod_producto],Productos[[#This Row],[Cod_producto]])</f>
        <v>0</v>
      </c>
      <c r="H29" s="3">
        <f>Productos[[#This Row],[Entradas]]-Productos[[#This Row],[Salidas]]</f>
        <v>5</v>
      </c>
      <c r="I29" s="20" t="s">
        <v>76</v>
      </c>
    </row>
    <row r="30" spans="2:9" ht="45">
      <c r="B30" s="5" t="s">
        <v>46</v>
      </c>
      <c r="C30" s="3" t="s">
        <v>25</v>
      </c>
      <c r="D30" s="29" t="s">
        <v>199</v>
      </c>
      <c r="E30" s="28">
        <v>1900</v>
      </c>
      <c r="F30" s="3">
        <f>SUMIFS(Entradas[Cantidad],Entradas[Cod_producto],Productos[[#This Row],[Cod_producto]])</f>
        <v>11</v>
      </c>
      <c r="G30" s="3">
        <f>SUMIFS(Salidas[Cantidad],Salidas[Cod_producto],Productos[[#This Row],[Cod_producto]])</f>
        <v>0</v>
      </c>
      <c r="H30" s="3">
        <f>Productos[[#This Row],[Entradas]]-Productos[[#This Row],[Salidas]]</f>
        <v>11</v>
      </c>
      <c r="I30" s="21" t="s">
        <v>80</v>
      </c>
    </row>
  </sheetData>
  <mergeCells count="1">
    <mergeCell ref="B7:H7"/>
  </mergeCells>
  <conditionalFormatting sqref="B10:I30">
    <cfRule type="expression" dxfId="42" priority="5">
      <formula>$H10&lt;=0</formula>
    </cfRule>
    <cfRule type="expression" dxfId="41" priority="6">
      <formula>$H10&lt;=0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'Categorias'!$C$9:$C$17</xm:f>
          </x14:formula1>
          <xm:sqref>I10:I30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H29"/>
  <sheetViews>
    <sheetView showGridLines="0" workbookViewId="0">
      <selection activeCell="B29" sqref="B29"/>
    </sheetView>
  </sheetViews>
  <sheetFormatPr baseColWidth="10" defaultRowHeight="15"/>
  <cols>
    <col min="2" max="2" width="15" customWidth="1"/>
    <col min="3" max="3" width="12.7109375" bestFit="1" customWidth="1"/>
    <col min="4" max="4" width="19" customWidth="1"/>
    <col min="5" max="5" width="16.42578125" customWidth="1"/>
    <col min="6" max="6" width="13.140625" customWidth="1"/>
  </cols>
  <sheetData>
    <row r="5" spans="2:8" ht="21.75" thickBot="1">
      <c r="B5" s="103" t="s">
        <v>50</v>
      </c>
      <c r="C5" s="103"/>
      <c r="D5" s="103"/>
      <c r="E5" s="103"/>
      <c r="F5" s="103"/>
    </row>
    <row r="6" spans="2:8" ht="15.75" thickTop="1"/>
    <row r="7" spans="2:8" ht="18.75">
      <c r="B7" s="7" t="s">
        <v>47</v>
      </c>
      <c r="C7" s="8" t="s">
        <v>48</v>
      </c>
      <c r="D7" s="8" t="s">
        <v>0</v>
      </c>
      <c r="E7" s="8" t="s">
        <v>1</v>
      </c>
      <c r="F7" s="9" t="s">
        <v>49</v>
      </c>
    </row>
    <row r="8" spans="2:8">
      <c r="B8" s="3" t="s">
        <v>52</v>
      </c>
      <c r="C8" s="12">
        <f ca="1">NOW()</f>
        <v>44375.596666550926</v>
      </c>
      <c r="D8" s="3" t="s">
        <v>26</v>
      </c>
      <c r="E8" s="3" t="str">
        <f>VLOOKUP(Entradas[[#This Row],[Cod_producto]],Productos[],2,)</f>
        <v>Detergente</v>
      </c>
      <c r="F8" s="6">
        <v>8</v>
      </c>
    </row>
    <row r="9" spans="2:8">
      <c r="B9" s="3" t="s">
        <v>53</v>
      </c>
      <c r="C9" s="12">
        <f t="shared" ref="C9:C29" ca="1" si="0">NOW()</f>
        <v>44375.596666550926</v>
      </c>
      <c r="D9" s="3" t="s">
        <v>27</v>
      </c>
      <c r="E9" s="3" t="str">
        <f>VLOOKUP(Entradas[[#This Row],[Cod_producto]],Productos[],2,)</f>
        <v>Jabon</v>
      </c>
      <c r="F9" s="6">
        <v>3</v>
      </c>
    </row>
    <row r="10" spans="2:8">
      <c r="B10" s="3" t="s">
        <v>54</v>
      </c>
      <c r="C10" s="12">
        <f t="shared" ca="1" si="0"/>
        <v>44375.596666550926</v>
      </c>
      <c r="D10" s="3" t="s">
        <v>28</v>
      </c>
      <c r="E10" s="3" t="str">
        <f>VLOOKUP(Entradas[[#This Row],[Cod_producto]],Productos[],2,)</f>
        <v>Toallas</v>
      </c>
      <c r="F10" s="6">
        <v>30</v>
      </c>
    </row>
    <row r="11" spans="2:8">
      <c r="B11" s="3" t="s">
        <v>55</v>
      </c>
      <c r="C11" s="12">
        <f t="shared" ca="1" si="0"/>
        <v>44375.596666550926</v>
      </c>
      <c r="D11" s="3" t="s">
        <v>29</v>
      </c>
      <c r="E11" s="3" t="str">
        <f>VLOOKUP(Entradas[[#This Row],[Cod_producto]],Productos[],2,)</f>
        <v>Arroz</v>
      </c>
      <c r="F11" s="6">
        <v>20</v>
      </c>
    </row>
    <row r="12" spans="2:8">
      <c r="B12" s="3" t="s">
        <v>56</v>
      </c>
      <c r="C12" s="12">
        <f t="shared" ca="1" si="0"/>
        <v>44375.596666550926</v>
      </c>
      <c r="D12" s="3" t="s">
        <v>30</v>
      </c>
      <c r="E12" s="3" t="str">
        <f>VLOOKUP(Entradas[[#This Row],[Cod_producto]],Productos[],2,)</f>
        <v>Azucar</v>
      </c>
      <c r="F12" s="6">
        <v>4</v>
      </c>
    </row>
    <row r="13" spans="2:8">
      <c r="B13" s="3" t="s">
        <v>57</v>
      </c>
      <c r="C13" s="12">
        <f t="shared" ca="1" si="0"/>
        <v>44375.596666550926</v>
      </c>
      <c r="D13" s="3" t="s">
        <v>31</v>
      </c>
      <c r="E13" s="3" t="str">
        <f>VLOOKUP(Entradas[[#This Row],[Cod_producto]],Productos[],2,)</f>
        <v>Lenteja</v>
      </c>
      <c r="F13" s="6">
        <v>5</v>
      </c>
    </row>
    <row r="14" spans="2:8">
      <c r="B14" s="3" t="s">
        <v>58</v>
      </c>
      <c r="C14" s="12">
        <f t="shared" ca="1" si="0"/>
        <v>44375.596666550926</v>
      </c>
      <c r="D14" s="3" t="s">
        <v>32</v>
      </c>
      <c r="E14" s="3" t="str">
        <f>VLOOKUP(Entradas[[#This Row],[Cod_producto]],Productos[],2,)</f>
        <v>Papel Higienico</v>
      </c>
      <c r="F14" s="6">
        <v>4</v>
      </c>
    </row>
    <row r="15" spans="2:8">
      <c r="B15" s="3" t="s">
        <v>59</v>
      </c>
      <c r="C15" s="12">
        <f t="shared" ca="1" si="0"/>
        <v>44375.596666550926</v>
      </c>
      <c r="D15" s="3" t="s">
        <v>33</v>
      </c>
      <c r="E15" s="3" t="str">
        <f>VLOOKUP(Entradas[[#This Row],[Cod_producto]],Productos[],2,)</f>
        <v>Sal</v>
      </c>
      <c r="F15" s="6">
        <v>3</v>
      </c>
      <c r="H15" s="2"/>
    </row>
    <row r="16" spans="2:8">
      <c r="B16" s="3" t="s">
        <v>60</v>
      </c>
      <c r="C16" s="12">
        <f t="shared" ca="1" si="0"/>
        <v>44375.596666550926</v>
      </c>
      <c r="D16" s="3" t="s">
        <v>34</v>
      </c>
      <c r="E16" s="3" t="str">
        <f>VLOOKUP(Entradas[[#This Row],[Cod_producto]],Productos[],2,)</f>
        <v>Pasta</v>
      </c>
      <c r="F16" s="6">
        <v>2</v>
      </c>
    </row>
    <row r="17" spans="2:6">
      <c r="B17" s="3" t="s">
        <v>61</v>
      </c>
      <c r="C17" s="12">
        <f t="shared" ca="1" si="0"/>
        <v>44375.596666550926</v>
      </c>
      <c r="D17" s="3" t="s">
        <v>35</v>
      </c>
      <c r="E17" s="3" t="str">
        <f>VLOOKUP(Entradas[[#This Row],[Cod_producto]],Productos[],2,)</f>
        <v>Cereal</v>
      </c>
      <c r="F17" s="6">
        <v>4</v>
      </c>
    </row>
    <row r="18" spans="2:6">
      <c r="B18" s="3" t="s">
        <v>62</v>
      </c>
      <c r="C18" s="12">
        <f t="shared" ca="1" si="0"/>
        <v>44375.596666550926</v>
      </c>
      <c r="D18" s="3" t="s">
        <v>36</v>
      </c>
      <c r="E18" s="3" t="str">
        <f>VLOOKUP(Entradas[[#This Row],[Cod_producto]],Productos[],2,)</f>
        <v>Atun</v>
      </c>
      <c r="F18" s="6">
        <v>1</v>
      </c>
    </row>
    <row r="19" spans="2:6">
      <c r="B19" s="3" t="s">
        <v>63</v>
      </c>
      <c r="C19" s="12">
        <f t="shared" ca="1" si="0"/>
        <v>44375.596666550926</v>
      </c>
      <c r="D19" s="3" t="s">
        <v>37</v>
      </c>
      <c r="E19" s="3" t="str">
        <f>VLOOKUP(Entradas[[#This Row],[Cod_producto]],Productos[],2,)</f>
        <v>Aceite</v>
      </c>
      <c r="F19" s="6">
        <v>5</v>
      </c>
    </row>
    <row r="20" spans="2:6">
      <c r="B20" s="3" t="s">
        <v>64</v>
      </c>
      <c r="C20" s="12">
        <f t="shared" ca="1" si="0"/>
        <v>44375.596666550926</v>
      </c>
      <c r="D20" s="3" t="s">
        <v>38</v>
      </c>
      <c r="E20" s="3" t="str">
        <f>VLOOKUP(Entradas[[#This Row],[Cod_producto]],Productos[],2,)</f>
        <v>Salsa</v>
      </c>
      <c r="F20" s="6">
        <v>2</v>
      </c>
    </row>
    <row r="21" spans="2:6">
      <c r="B21" s="3" t="s">
        <v>65</v>
      </c>
      <c r="C21" s="12">
        <f t="shared" ca="1" si="0"/>
        <v>44375.596666550926</v>
      </c>
      <c r="D21" s="3" t="s">
        <v>39</v>
      </c>
      <c r="E21" s="3" t="str">
        <f>VLOOKUP(Entradas[[#This Row],[Cod_producto]],Productos[],2,)</f>
        <v>Gaseosa</v>
      </c>
      <c r="F21" s="6">
        <v>1</v>
      </c>
    </row>
    <row r="22" spans="2:6">
      <c r="B22" s="3" t="s">
        <v>66</v>
      </c>
      <c r="C22" s="12">
        <f t="shared" ca="1" si="0"/>
        <v>44375.596666550926</v>
      </c>
      <c r="D22" s="3" t="s">
        <v>40</v>
      </c>
      <c r="E22" s="3" t="str">
        <f>VLOOKUP(Entradas[[#This Row],[Cod_producto]],Productos[],2,)</f>
        <v>Paquete de papas</v>
      </c>
      <c r="F22" s="6">
        <v>1</v>
      </c>
    </row>
    <row r="23" spans="2:6">
      <c r="B23" s="3" t="s">
        <v>67</v>
      </c>
      <c r="C23" s="12">
        <f t="shared" ca="1" si="0"/>
        <v>44375.596666550926</v>
      </c>
      <c r="D23" s="3" t="s">
        <v>41</v>
      </c>
      <c r="E23" s="3" t="str">
        <f>VLOOKUP(Entradas[[#This Row],[Cod_producto]],Productos[],2,)</f>
        <v>Yogurt</v>
      </c>
      <c r="F23" s="6">
        <v>2</v>
      </c>
    </row>
    <row r="24" spans="2:6">
      <c r="B24" s="3" t="s">
        <v>68</v>
      </c>
      <c r="C24" s="12">
        <f t="shared" ca="1" si="0"/>
        <v>44375.596666550926</v>
      </c>
      <c r="D24" s="3" t="s">
        <v>42</v>
      </c>
      <c r="E24" s="3" t="str">
        <f>VLOOKUP(Entradas[[#This Row],[Cod_producto]],Productos[],2,)</f>
        <v>Gelatina</v>
      </c>
      <c r="F24" s="6">
        <v>4</v>
      </c>
    </row>
    <row r="25" spans="2:6">
      <c r="B25" s="3" t="s">
        <v>69</v>
      </c>
      <c r="C25" s="12">
        <f t="shared" ca="1" si="0"/>
        <v>44375.596666550926</v>
      </c>
      <c r="D25" s="3" t="s">
        <v>43</v>
      </c>
      <c r="E25" s="3" t="str">
        <f>VLOOKUP(Entradas[[#This Row],[Cod_producto]],Productos[],2,)</f>
        <v>Jugo</v>
      </c>
      <c r="F25" s="6">
        <v>3</v>
      </c>
    </row>
    <row r="26" spans="2:6">
      <c r="B26" s="3" t="s">
        <v>70</v>
      </c>
      <c r="C26" s="12">
        <f t="shared" ca="1" si="0"/>
        <v>44375.596666550926</v>
      </c>
      <c r="D26" s="3" t="s">
        <v>44</v>
      </c>
      <c r="E26" s="3" t="str">
        <f>VLOOKUP(Entradas[[#This Row],[Cod_producto]],Productos[],2,)</f>
        <v>Leche</v>
      </c>
      <c r="F26" s="6">
        <v>4</v>
      </c>
    </row>
    <row r="27" spans="2:6">
      <c r="B27" s="3" t="s">
        <v>71</v>
      </c>
      <c r="C27" s="12">
        <f t="shared" ca="1" si="0"/>
        <v>44375.596666550926</v>
      </c>
      <c r="D27" s="3" t="s">
        <v>45</v>
      </c>
      <c r="E27" s="3" t="str">
        <f>VLOOKUP(Entradas[[#This Row],[Cod_producto]],Productos[],2,)</f>
        <v>Huevo</v>
      </c>
      <c r="F27" s="6">
        <v>5</v>
      </c>
    </row>
    <row r="28" spans="2:6">
      <c r="B28" s="3" t="s">
        <v>72</v>
      </c>
      <c r="C28" s="12">
        <f t="shared" ca="1" si="0"/>
        <v>44375.596666550926</v>
      </c>
      <c r="D28" s="10" t="s">
        <v>46</v>
      </c>
      <c r="E28" s="10" t="str">
        <f>VLOOKUP(Entradas[[#This Row],[Cod_producto]],Productos[],2,)</f>
        <v>Crema de dientes</v>
      </c>
      <c r="F28" s="11">
        <v>1</v>
      </c>
    </row>
    <row r="29" spans="2:6">
      <c r="B29" s="13" t="s">
        <v>72</v>
      </c>
      <c r="C29" s="15">
        <f t="shared" ca="1" si="0"/>
        <v>44375.596666550926</v>
      </c>
      <c r="D29" s="10" t="s">
        <v>46</v>
      </c>
      <c r="E29" s="10" t="str">
        <f>VLOOKUP(Entradas[[#This Row],[Cod_producto]],Productos[],2,)</f>
        <v>Crema de dientes</v>
      </c>
      <c r="F29" s="14">
        <v>10</v>
      </c>
    </row>
  </sheetData>
  <mergeCells count="1">
    <mergeCell ref="B5:F5"/>
  </mergeCell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Productos!$B$10:$B$30</xm:f>
          </x14:formula1>
          <xm:sqref>D8:D29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5:F9"/>
  <sheetViews>
    <sheetView showGridLines="0" workbookViewId="0">
      <selection activeCell="B7" sqref="B7:F9"/>
    </sheetView>
  </sheetViews>
  <sheetFormatPr baseColWidth="10" defaultColWidth="12.5703125" defaultRowHeight="15"/>
  <cols>
    <col min="2" max="2" width="15" customWidth="1"/>
    <col min="3" max="3" width="15.140625" bestFit="1" customWidth="1"/>
    <col min="4" max="4" width="19" customWidth="1"/>
    <col min="5" max="5" width="16.42578125" customWidth="1"/>
    <col min="6" max="6" width="13.140625" customWidth="1"/>
  </cols>
  <sheetData>
    <row r="5" spans="2:6" ht="21.75" thickBot="1">
      <c r="B5" s="103" t="s">
        <v>51</v>
      </c>
      <c r="C5" s="103"/>
      <c r="D5" s="103"/>
      <c r="E5" s="103"/>
      <c r="F5" s="103"/>
    </row>
    <row r="6" spans="2:6" ht="15.75" thickTop="1"/>
    <row r="7" spans="2:6" ht="18.75">
      <c r="B7" s="17" t="s">
        <v>47</v>
      </c>
      <c r="C7" s="17" t="s">
        <v>48</v>
      </c>
      <c r="D7" s="17" t="s">
        <v>0</v>
      </c>
      <c r="E7" s="17" t="s">
        <v>1</v>
      </c>
      <c r="F7" s="17" t="s">
        <v>49</v>
      </c>
    </row>
    <row r="8" spans="2:6">
      <c r="B8" s="3" t="s">
        <v>52</v>
      </c>
      <c r="C8" s="12">
        <v>44243</v>
      </c>
      <c r="D8" s="3" t="s">
        <v>27</v>
      </c>
      <c r="E8" s="3" t="str">
        <f>VLOOKUP(Salidas[[#This Row],[Cod_producto]],Productos[],2,FALSE)</f>
        <v>Jabon</v>
      </c>
      <c r="F8" s="3">
        <v>2</v>
      </c>
    </row>
    <row r="9" spans="2:6">
      <c r="B9" s="3" t="s">
        <v>53</v>
      </c>
      <c r="C9" s="12">
        <f ca="1">NOW()</f>
        <v>44375.596666550926</v>
      </c>
      <c r="D9" s="3" t="s">
        <v>29</v>
      </c>
      <c r="E9" s="3" t="str">
        <f>VLOOKUP(Salidas[[#This Row],[Cod_producto]],Productos[],2,FALSE)</f>
        <v>Arroz</v>
      </c>
      <c r="F9" s="3">
        <v>10</v>
      </c>
    </row>
  </sheetData>
  <mergeCells count="1">
    <mergeCell ref="B5:F5"/>
  </mergeCell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Productos!$B$10:$B$30</xm:f>
          </x14:formula1>
          <xm:sqref>D8:D9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6:D17"/>
  <sheetViews>
    <sheetView showGridLines="0" workbookViewId="0">
      <selection activeCell="C12" sqref="C12"/>
    </sheetView>
  </sheetViews>
  <sheetFormatPr baseColWidth="10" defaultColWidth="16.7109375" defaultRowHeight="15"/>
  <cols>
    <col min="2" max="2" width="19.140625" customWidth="1"/>
    <col min="3" max="3" width="32.42578125" customWidth="1"/>
  </cols>
  <sheetData>
    <row r="6" spans="2:4" ht="21.75" thickBot="1">
      <c r="B6" s="103" t="s">
        <v>51</v>
      </c>
      <c r="C6" s="103"/>
      <c r="D6" s="103"/>
    </row>
    <row r="7" spans="2:4" ht="15.75" thickTop="1"/>
    <row r="8" spans="2:4" ht="21">
      <c r="C8" s="18" t="s">
        <v>74</v>
      </c>
    </row>
    <row r="9" spans="2:4" ht="15.75">
      <c r="C9" s="22" t="s">
        <v>76</v>
      </c>
    </row>
    <row r="10" spans="2:4" ht="15.75">
      <c r="C10" s="22" t="s">
        <v>77</v>
      </c>
    </row>
    <row r="11" spans="2:4" ht="15.75">
      <c r="C11" s="22" t="s">
        <v>78</v>
      </c>
    </row>
    <row r="12" spans="2:4" ht="15.75">
      <c r="C12" s="22" t="s">
        <v>79</v>
      </c>
    </row>
    <row r="13" spans="2:4" ht="15.75">
      <c r="C13" s="23" t="s">
        <v>80</v>
      </c>
    </row>
    <row r="14" spans="2:4" ht="15.75">
      <c r="C14" s="22" t="s">
        <v>81</v>
      </c>
    </row>
    <row r="15" spans="2:4" ht="15.75">
      <c r="C15" s="24" t="s">
        <v>75</v>
      </c>
    </row>
    <row r="16" spans="2:4" ht="15.75">
      <c r="C16" s="24" t="s">
        <v>82</v>
      </c>
    </row>
    <row r="17" spans="3:3" ht="15.75">
      <c r="C17" s="24" t="s">
        <v>83</v>
      </c>
    </row>
  </sheetData>
  <mergeCells count="1">
    <mergeCell ref="B6:D6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3:G24"/>
  <sheetViews>
    <sheetView showGridLines="0" zoomScale="80" zoomScaleNormal="80" workbookViewId="0">
      <selection activeCell="B4" sqref="B4:G24"/>
    </sheetView>
  </sheetViews>
  <sheetFormatPr baseColWidth="10" defaultRowHeight="15"/>
  <cols>
    <col min="1" max="1" width="18.42578125" customWidth="1"/>
    <col min="2" max="2" width="18.7109375" customWidth="1"/>
    <col min="3" max="3" width="20.140625" customWidth="1"/>
    <col min="4" max="4" width="19.140625" customWidth="1"/>
    <col min="5" max="5" width="27.5703125" customWidth="1"/>
    <col min="6" max="6" width="46.28515625" customWidth="1"/>
    <col min="7" max="7" width="44.140625" customWidth="1"/>
  </cols>
  <sheetData>
    <row r="3" spans="2:7">
      <c r="B3" s="25" t="s">
        <v>84</v>
      </c>
      <c r="C3" s="25" t="s">
        <v>85</v>
      </c>
      <c r="D3" s="25" t="s">
        <v>86</v>
      </c>
      <c r="E3" s="25" t="s">
        <v>87</v>
      </c>
      <c r="F3" s="25" t="s">
        <v>88</v>
      </c>
      <c r="G3" s="25" t="s">
        <v>89</v>
      </c>
    </row>
    <row r="4" spans="2:7">
      <c r="B4" s="25">
        <v>1013576811</v>
      </c>
      <c r="C4" t="s">
        <v>90</v>
      </c>
      <c r="D4" t="s">
        <v>91</v>
      </c>
      <c r="E4" s="25">
        <v>3212151254</v>
      </c>
      <c r="F4" t="s">
        <v>92</v>
      </c>
      <c r="G4" s="26" t="s">
        <v>93</v>
      </c>
    </row>
    <row r="5" spans="2:7">
      <c r="B5" s="25">
        <v>1001096125</v>
      </c>
      <c r="C5" t="s">
        <v>94</v>
      </c>
      <c r="D5" t="s">
        <v>95</v>
      </c>
      <c r="E5" s="25">
        <v>3012514581</v>
      </c>
      <c r="F5" t="s">
        <v>96</v>
      </c>
      <c r="G5" s="26" t="s">
        <v>97</v>
      </c>
    </row>
    <row r="6" spans="2:7">
      <c r="B6" s="25">
        <v>1012316243</v>
      </c>
      <c r="C6" t="s">
        <v>90</v>
      </c>
      <c r="D6" t="s">
        <v>98</v>
      </c>
      <c r="E6" s="25">
        <v>3204125846</v>
      </c>
      <c r="F6" t="s">
        <v>99</v>
      </c>
      <c r="G6" s="26" t="s">
        <v>100</v>
      </c>
    </row>
    <row r="7" spans="2:7">
      <c r="B7" s="25">
        <v>1016942358</v>
      </c>
      <c r="C7" t="s">
        <v>101</v>
      </c>
      <c r="D7" t="s">
        <v>102</v>
      </c>
      <c r="E7" s="25">
        <v>3043385964</v>
      </c>
      <c r="F7" t="s">
        <v>103</v>
      </c>
      <c r="G7" s="26" t="s">
        <v>104</v>
      </c>
    </row>
    <row r="8" spans="2:7">
      <c r="B8" s="25">
        <v>1034656167</v>
      </c>
      <c r="C8" t="s">
        <v>105</v>
      </c>
      <c r="D8" t="s">
        <v>106</v>
      </c>
      <c r="E8" s="25">
        <v>3153130156</v>
      </c>
      <c r="F8" t="s">
        <v>107</v>
      </c>
      <c r="G8" s="26" t="s">
        <v>108</v>
      </c>
    </row>
    <row r="9" spans="2:7">
      <c r="B9" s="25">
        <v>1192831945</v>
      </c>
      <c r="C9" t="s">
        <v>109</v>
      </c>
      <c r="D9" t="s">
        <v>110</v>
      </c>
      <c r="E9" s="25">
        <v>3172727783</v>
      </c>
      <c r="F9" t="s">
        <v>111</v>
      </c>
      <c r="G9" s="26" t="s">
        <v>112</v>
      </c>
    </row>
    <row r="10" spans="2:7">
      <c r="B10" s="25">
        <v>1010051342</v>
      </c>
      <c r="C10" t="s">
        <v>114</v>
      </c>
      <c r="D10" t="s">
        <v>115</v>
      </c>
      <c r="E10" s="25">
        <v>3118271726</v>
      </c>
      <c r="F10" t="s">
        <v>116</v>
      </c>
      <c r="G10" s="26" t="s">
        <v>117</v>
      </c>
    </row>
    <row r="11" spans="2:7">
      <c r="B11" s="25">
        <v>1006051207</v>
      </c>
      <c r="C11" t="s">
        <v>118</v>
      </c>
      <c r="D11" t="s">
        <v>119</v>
      </c>
      <c r="E11" s="25">
        <v>3235940505</v>
      </c>
      <c r="F11" t="s">
        <v>120</v>
      </c>
      <c r="G11" s="26" t="s">
        <v>121</v>
      </c>
    </row>
    <row r="12" spans="2:7">
      <c r="B12" s="25">
        <v>1019602056</v>
      </c>
      <c r="C12" t="s">
        <v>123</v>
      </c>
      <c r="D12" t="s">
        <v>124</v>
      </c>
      <c r="E12" s="25">
        <v>3015551357</v>
      </c>
      <c r="F12" t="s">
        <v>125</v>
      </c>
      <c r="G12" s="26" t="s">
        <v>126</v>
      </c>
    </row>
    <row r="13" spans="2:7">
      <c r="B13" s="25">
        <v>1016942409</v>
      </c>
      <c r="C13" t="s">
        <v>127</v>
      </c>
      <c r="D13" t="s">
        <v>128</v>
      </c>
      <c r="E13" s="25">
        <v>3208357118</v>
      </c>
      <c r="F13" t="s">
        <v>129</v>
      </c>
      <c r="G13" s="26" t="s">
        <v>130</v>
      </c>
    </row>
    <row r="14" spans="2:7">
      <c r="B14" s="25">
        <v>1000464506</v>
      </c>
      <c r="C14" t="s">
        <v>131</v>
      </c>
      <c r="D14" t="s">
        <v>132</v>
      </c>
      <c r="E14" s="25">
        <v>3195890562</v>
      </c>
      <c r="F14" t="s">
        <v>133</v>
      </c>
      <c r="G14" s="26" t="s">
        <v>134</v>
      </c>
    </row>
    <row r="15" spans="2:7">
      <c r="B15" s="25">
        <v>1023903053</v>
      </c>
      <c r="C15" t="s">
        <v>135</v>
      </c>
      <c r="D15" t="s">
        <v>136</v>
      </c>
      <c r="E15" s="25">
        <v>3219240401</v>
      </c>
      <c r="F15" t="s">
        <v>137</v>
      </c>
      <c r="G15" s="26" t="s">
        <v>138</v>
      </c>
    </row>
    <row r="16" spans="2:7">
      <c r="B16" s="25">
        <v>1001271562</v>
      </c>
      <c r="C16" t="s">
        <v>139</v>
      </c>
      <c r="D16" t="s">
        <v>140</v>
      </c>
      <c r="E16" s="25">
        <v>3197729848</v>
      </c>
      <c r="F16" t="s">
        <v>141</v>
      </c>
      <c r="G16" s="26" t="s">
        <v>142</v>
      </c>
    </row>
    <row r="17" spans="2:7">
      <c r="B17" s="25">
        <v>1005573490</v>
      </c>
      <c r="C17" t="s">
        <v>143</v>
      </c>
      <c r="D17" t="s">
        <v>144</v>
      </c>
      <c r="E17" s="25">
        <v>3226363960</v>
      </c>
      <c r="F17" t="s">
        <v>145</v>
      </c>
      <c r="G17" s="26" t="s">
        <v>146</v>
      </c>
    </row>
    <row r="18" spans="2:7">
      <c r="B18" s="25">
        <v>1007105324</v>
      </c>
      <c r="C18" t="s">
        <v>147</v>
      </c>
      <c r="D18" t="s">
        <v>148</v>
      </c>
      <c r="E18" s="25">
        <v>3209854322</v>
      </c>
      <c r="F18" t="s">
        <v>149</v>
      </c>
      <c r="G18" s="26" t="s">
        <v>150</v>
      </c>
    </row>
    <row r="19" spans="2:7">
      <c r="B19" s="25">
        <v>1022922706</v>
      </c>
      <c r="C19" t="s">
        <v>151</v>
      </c>
      <c r="D19" t="s">
        <v>152</v>
      </c>
      <c r="E19" s="25">
        <v>3223377850</v>
      </c>
      <c r="F19" t="s">
        <v>153</v>
      </c>
      <c r="G19" s="26" t="s">
        <v>154</v>
      </c>
    </row>
    <row r="20" spans="2:7">
      <c r="B20" s="25">
        <v>1000807149</v>
      </c>
      <c r="C20" t="s">
        <v>155</v>
      </c>
      <c r="D20" t="s">
        <v>156</v>
      </c>
      <c r="E20" s="25">
        <v>3015554404</v>
      </c>
      <c r="F20" t="s">
        <v>157</v>
      </c>
      <c r="G20" s="26" t="s">
        <v>158</v>
      </c>
    </row>
    <row r="21" spans="2:7">
      <c r="B21" s="25">
        <v>1003540758</v>
      </c>
      <c r="C21" t="s">
        <v>159</v>
      </c>
      <c r="D21" t="s">
        <v>160</v>
      </c>
      <c r="E21" s="25">
        <v>3108995144</v>
      </c>
      <c r="F21" t="s">
        <v>161</v>
      </c>
      <c r="G21" s="26" t="s">
        <v>162</v>
      </c>
    </row>
    <row r="22" spans="2:7">
      <c r="B22" s="25">
        <v>1000036556</v>
      </c>
      <c r="C22" t="s">
        <v>163</v>
      </c>
      <c r="D22" t="s">
        <v>164</v>
      </c>
      <c r="E22" s="25">
        <v>3132597471</v>
      </c>
      <c r="F22" t="s">
        <v>165</v>
      </c>
      <c r="G22" s="26" t="s">
        <v>166</v>
      </c>
    </row>
    <row r="23" spans="2:7">
      <c r="B23" s="25">
        <v>1013099140</v>
      </c>
      <c r="C23" t="s">
        <v>167</v>
      </c>
      <c r="D23" t="s">
        <v>168</v>
      </c>
      <c r="E23" s="25">
        <v>3042217481</v>
      </c>
      <c r="F23" t="s">
        <v>169</v>
      </c>
      <c r="G23" s="26" t="s">
        <v>170</v>
      </c>
    </row>
    <row r="24" spans="2:7">
      <c r="B24" s="25">
        <v>1001117202</v>
      </c>
      <c r="C24" t="s">
        <v>171</v>
      </c>
      <c r="D24" t="s">
        <v>172</v>
      </c>
      <c r="E24" s="25">
        <v>3043748447</v>
      </c>
      <c r="F24" t="s">
        <v>173</v>
      </c>
      <c r="G24" s="26" t="s">
        <v>174</v>
      </c>
    </row>
  </sheetData>
  <hyperlinks>
    <hyperlink ref="G4" r:id="rId1" xr:uid="{00000000-0004-0000-0400-000000000000}"/>
    <hyperlink ref="G5" r:id="rId2" xr:uid="{00000000-0004-0000-0400-000001000000}"/>
    <hyperlink ref="G6" r:id="rId3" xr:uid="{00000000-0004-0000-0400-000002000000}"/>
    <hyperlink ref="G7" r:id="rId4" xr:uid="{00000000-0004-0000-0400-000003000000}"/>
    <hyperlink ref="G8" r:id="rId5" xr:uid="{00000000-0004-0000-0400-000004000000}"/>
    <hyperlink ref="G9" r:id="rId6" xr:uid="{00000000-0004-0000-0400-000005000000}"/>
    <hyperlink ref="G10" r:id="rId7" xr:uid="{00000000-0004-0000-0400-000006000000}"/>
    <hyperlink ref="G11" r:id="rId8" xr:uid="{00000000-0004-0000-0400-000007000000}"/>
    <hyperlink ref="G12" r:id="rId9" xr:uid="{00000000-0004-0000-0400-000008000000}"/>
    <hyperlink ref="G13" r:id="rId10" xr:uid="{00000000-0004-0000-0400-000009000000}"/>
    <hyperlink ref="G14" r:id="rId11" xr:uid="{00000000-0004-0000-0400-00000A000000}"/>
    <hyperlink ref="G15" r:id="rId12" xr:uid="{00000000-0004-0000-0400-00000B000000}"/>
    <hyperlink ref="G16" r:id="rId13" xr:uid="{00000000-0004-0000-0400-00000C000000}"/>
    <hyperlink ref="G17" r:id="rId14" xr:uid="{00000000-0004-0000-0400-00000D000000}"/>
    <hyperlink ref="G18" r:id="rId15" xr:uid="{00000000-0004-0000-0400-00000E000000}"/>
    <hyperlink ref="G19" r:id="rId16" xr:uid="{00000000-0004-0000-0400-00000F000000}"/>
    <hyperlink ref="G20" r:id="rId17" xr:uid="{00000000-0004-0000-0400-000010000000}"/>
    <hyperlink ref="G21" r:id="rId18" xr:uid="{00000000-0004-0000-0400-000011000000}"/>
    <hyperlink ref="G22" r:id="rId19" xr:uid="{00000000-0004-0000-0400-000012000000}"/>
    <hyperlink ref="G23" r:id="rId20" xr:uid="{00000000-0004-0000-0400-000013000000}"/>
    <hyperlink ref="G24" r:id="rId21" xr:uid="{00000000-0004-0000-0400-000014000000}"/>
  </hyperlinks>
  <pageMargins left="0.7" right="0.7" top="0.75" bottom="0.75" header="0.3" footer="0.3"/>
  <tableParts count="1">
    <tablePart r:id="rId2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2:D7"/>
  <sheetViews>
    <sheetView workbookViewId="0">
      <selection activeCell="B4" sqref="B4:D7"/>
    </sheetView>
  </sheetViews>
  <sheetFormatPr baseColWidth="10" defaultRowHeight="15"/>
  <cols>
    <col min="2" max="2" width="15.85546875" bestFit="1" customWidth="1"/>
    <col min="3" max="3" width="15.28515625" bestFit="1" customWidth="1"/>
    <col min="4" max="4" width="16.7109375" bestFit="1" customWidth="1"/>
  </cols>
  <sheetData>
    <row r="2" spans="2:4">
      <c r="B2" s="104" t="s">
        <v>277</v>
      </c>
      <c r="C2" s="105"/>
      <c r="D2" s="106"/>
    </row>
    <row r="3" spans="2:4">
      <c r="B3" s="25" t="s">
        <v>200</v>
      </c>
      <c r="C3" s="25" t="s">
        <v>201</v>
      </c>
      <c r="D3" s="25" t="s">
        <v>202</v>
      </c>
    </row>
    <row r="4" spans="2:4">
      <c r="B4" s="25">
        <v>1016943117</v>
      </c>
      <c r="C4" s="25" t="s">
        <v>203</v>
      </c>
      <c r="D4" s="25" t="s">
        <v>113</v>
      </c>
    </row>
    <row r="5" spans="2:4">
      <c r="B5" s="25">
        <v>1000157790</v>
      </c>
      <c r="C5" s="25" t="s">
        <v>175</v>
      </c>
      <c r="D5" s="25" t="s">
        <v>176</v>
      </c>
    </row>
    <row r="6" spans="2:4">
      <c r="B6" s="25">
        <v>1014176160</v>
      </c>
      <c r="C6" s="25" t="s">
        <v>204</v>
      </c>
      <c r="D6" s="25" t="s">
        <v>205</v>
      </c>
    </row>
    <row r="7" spans="2:4">
      <c r="B7" s="25">
        <v>1000350620</v>
      </c>
      <c r="C7" s="25" t="s">
        <v>122</v>
      </c>
      <c r="D7" s="25" t="s">
        <v>206</v>
      </c>
    </row>
  </sheetData>
  <mergeCells count="1">
    <mergeCell ref="B2:D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6:G24"/>
  <sheetViews>
    <sheetView showGridLines="0" showRowColHeaders="0" tabSelected="1" showRuler="0" view="pageLayout" topLeftCell="A4" zoomScaleNormal="100" workbookViewId="0">
      <selection activeCell="E24" sqref="E24"/>
    </sheetView>
  </sheetViews>
  <sheetFormatPr baseColWidth="10" defaultRowHeight="15"/>
  <cols>
    <col min="1" max="1" width="10.5703125" customWidth="1"/>
    <col min="2" max="2" width="14.28515625" customWidth="1"/>
    <col min="3" max="3" width="13.7109375" customWidth="1"/>
    <col min="4" max="4" width="16.28515625" customWidth="1"/>
    <col min="5" max="5" width="11.28515625" customWidth="1"/>
    <col min="6" max="6" width="12.85546875" customWidth="1"/>
  </cols>
  <sheetData>
    <row r="6" spans="1:7" ht="17.25">
      <c r="A6" s="109" t="s">
        <v>207</v>
      </c>
      <c r="B6" s="109"/>
      <c r="C6" s="110">
        <v>1016942409</v>
      </c>
      <c r="D6" s="110"/>
      <c r="E6" s="35" t="s">
        <v>208</v>
      </c>
      <c r="F6" s="111">
        <f ca="1">NOW()</f>
        <v>44375.596666550926</v>
      </c>
      <c r="G6" s="112"/>
    </row>
    <row r="7" spans="1:7" ht="17.25">
      <c r="A7" s="36" t="s">
        <v>209</v>
      </c>
      <c r="B7" s="107" t="str">
        <f>CONCATENATE(VLOOKUP(C6,TABLACLIENTES,2,FALSE)," ",(VLOOKUP(C6,TABLACLIENTES,3,FALSE)))</f>
        <v>Brayan Andres Puello Sanchez</v>
      </c>
      <c r="C7" s="107"/>
      <c r="D7" s="107"/>
      <c r="E7" s="113" t="s">
        <v>211</v>
      </c>
      <c r="F7" s="113"/>
      <c r="G7" s="113"/>
    </row>
    <row r="8" spans="1:7" ht="17.25">
      <c r="A8" s="36" t="s">
        <v>210</v>
      </c>
      <c r="B8" s="107" t="str">
        <f>VLOOKUP(C6,TABLACLIENTES,5,FALSE)</f>
        <v>Calle 70 A # 122 A 76</v>
      </c>
      <c r="C8" s="107"/>
      <c r="D8" s="107"/>
      <c r="E8" s="107"/>
      <c r="F8" s="107"/>
      <c r="G8" s="107"/>
    </row>
    <row r="9" spans="1:7" ht="17.25">
      <c r="A9" s="36" t="s">
        <v>87</v>
      </c>
      <c r="B9" s="108">
        <f>VLOOKUP(C6,TABLACLIENTES,4,FALSE)</f>
        <v>3208357118</v>
      </c>
      <c r="C9" s="108"/>
      <c r="D9" s="37" t="s">
        <v>212</v>
      </c>
      <c r="E9" s="107" t="str">
        <f>VLOOKUP(C6,TABLACLIENTES,6,FALSE)</f>
        <v>Bapuello9@misena.edu.co</v>
      </c>
      <c r="F9" s="107"/>
      <c r="G9" s="107"/>
    </row>
    <row r="10" spans="1:7">
      <c r="A10" s="38" t="s">
        <v>213</v>
      </c>
      <c r="B10" s="38" t="s">
        <v>214</v>
      </c>
      <c r="C10" s="38" t="s">
        <v>215</v>
      </c>
      <c r="D10" s="38" t="s">
        <v>216</v>
      </c>
      <c r="E10" s="38" t="s">
        <v>217</v>
      </c>
      <c r="F10" s="38" t="s">
        <v>218</v>
      </c>
      <c r="G10" s="38" t="s">
        <v>219</v>
      </c>
    </row>
    <row r="11" spans="1:7" ht="27">
      <c r="A11" s="40">
        <v>1</v>
      </c>
      <c r="B11" s="34" t="s">
        <v>27</v>
      </c>
      <c r="C11" s="30" t="str">
        <f t="shared" ref="C11:C20" si="0">IFERROR(VLOOKUP(B11,TABLAPRODUCTO,2,FALSE),"")</f>
        <v>Jabon</v>
      </c>
      <c r="D11" s="31" t="str">
        <f t="shared" ref="D11:D20" si="1">IFERROR(VLOOKUP(B11,TABLAPRODUCTO,3,FALSE),"")</f>
        <v>liquido antibacterial por 1000 ml</v>
      </c>
      <c r="E11" s="32">
        <v>1</v>
      </c>
      <c r="F11" s="33">
        <f t="shared" ref="F11:F20" si="2">IFERROR(VLOOKUP(B11,TABLAPRODUCTO,4,FALSE),"")</f>
        <v>5500</v>
      </c>
      <c r="G11" s="33">
        <f>IFERROR(E11*F11,"")</f>
        <v>5500</v>
      </c>
    </row>
    <row r="12" spans="1:7" ht="27">
      <c r="A12" s="40">
        <v>2</v>
      </c>
      <c r="B12" s="34" t="s">
        <v>40</v>
      </c>
      <c r="C12" s="32" t="str">
        <f t="shared" si="0"/>
        <v>Paquete de papas</v>
      </c>
      <c r="D12" s="31" t="str">
        <f t="shared" si="1"/>
        <v>sabor pollo por 105 gr</v>
      </c>
      <c r="E12" s="32">
        <v>3</v>
      </c>
      <c r="F12" s="33">
        <f t="shared" si="2"/>
        <v>2000</v>
      </c>
      <c r="G12" s="33">
        <f t="shared" ref="G12:G20" si="3">IFERROR(E12*F12,"")</f>
        <v>6000</v>
      </c>
    </row>
    <row r="13" spans="1:7" ht="27">
      <c r="A13" s="40">
        <v>3</v>
      </c>
      <c r="B13" s="34" t="s">
        <v>41</v>
      </c>
      <c r="C13" s="30" t="str">
        <f t="shared" si="0"/>
        <v>Yogurt</v>
      </c>
      <c r="D13" s="31" t="str">
        <f t="shared" si="1"/>
        <v>sabor fresa por 1000 ml</v>
      </c>
      <c r="E13" s="32">
        <v>1</v>
      </c>
      <c r="F13" s="33">
        <f t="shared" si="2"/>
        <v>10000</v>
      </c>
      <c r="G13" s="33">
        <f t="shared" si="3"/>
        <v>10000</v>
      </c>
    </row>
    <row r="14" spans="1:7" ht="27">
      <c r="A14" s="40">
        <v>4</v>
      </c>
      <c r="B14" s="34" t="s">
        <v>42</v>
      </c>
      <c r="C14" s="30" t="str">
        <f t="shared" si="0"/>
        <v>Gelatina</v>
      </c>
      <c r="D14" s="31" t="str">
        <f t="shared" si="1"/>
        <v>surtida por 3 unidades</v>
      </c>
      <c r="E14" s="32">
        <v>1</v>
      </c>
      <c r="F14" s="33">
        <f t="shared" si="2"/>
        <v>2200</v>
      </c>
      <c r="G14" s="33">
        <f t="shared" si="3"/>
        <v>2200</v>
      </c>
    </row>
    <row r="15" spans="1:7" ht="17.25">
      <c r="A15" s="40">
        <v>5</v>
      </c>
      <c r="B15" s="34" t="s">
        <v>44</v>
      </c>
      <c r="C15" s="30" t="str">
        <f t="shared" si="0"/>
        <v>Leche</v>
      </c>
      <c r="D15" s="31" t="str">
        <f t="shared" si="1"/>
        <v>entera por 1000 ml</v>
      </c>
      <c r="E15" s="32">
        <v>12</v>
      </c>
      <c r="F15" s="33">
        <f t="shared" si="2"/>
        <v>1100</v>
      </c>
      <c r="G15" s="33">
        <f t="shared" si="3"/>
        <v>13200</v>
      </c>
    </row>
    <row r="16" spans="1:7" ht="17.25">
      <c r="A16" s="40">
        <v>6</v>
      </c>
      <c r="B16" s="34"/>
      <c r="C16" s="30" t="str">
        <f t="shared" si="0"/>
        <v/>
      </c>
      <c r="D16" s="31" t="str">
        <f t="shared" si="1"/>
        <v/>
      </c>
      <c r="E16" s="32"/>
      <c r="F16" s="33" t="str">
        <f t="shared" si="2"/>
        <v/>
      </c>
      <c r="G16" s="33" t="str">
        <f t="shared" si="3"/>
        <v/>
      </c>
    </row>
    <row r="17" spans="1:7" ht="17.25">
      <c r="A17" s="40">
        <v>7</v>
      </c>
      <c r="B17" s="34"/>
      <c r="C17" s="30" t="str">
        <f t="shared" si="0"/>
        <v/>
      </c>
      <c r="D17" s="31" t="str">
        <f t="shared" si="1"/>
        <v/>
      </c>
      <c r="E17" s="32"/>
      <c r="F17" s="33" t="str">
        <f t="shared" si="2"/>
        <v/>
      </c>
      <c r="G17" s="33" t="str">
        <f t="shared" si="3"/>
        <v/>
      </c>
    </row>
    <row r="18" spans="1:7" ht="17.25">
      <c r="A18" s="40">
        <v>8</v>
      </c>
      <c r="B18" s="34"/>
      <c r="C18" s="30" t="str">
        <f t="shared" si="0"/>
        <v/>
      </c>
      <c r="D18" s="31" t="str">
        <f t="shared" si="1"/>
        <v/>
      </c>
      <c r="E18" s="32"/>
      <c r="F18" s="33" t="str">
        <f t="shared" si="2"/>
        <v/>
      </c>
      <c r="G18" s="33" t="str">
        <f t="shared" si="3"/>
        <v/>
      </c>
    </row>
    <row r="19" spans="1:7" ht="17.25">
      <c r="A19" s="40">
        <v>9</v>
      </c>
      <c r="B19" s="34"/>
      <c r="C19" s="30" t="str">
        <f t="shared" si="0"/>
        <v/>
      </c>
      <c r="D19" s="31" t="str">
        <f t="shared" si="1"/>
        <v/>
      </c>
      <c r="E19" s="32"/>
      <c r="F19" s="33" t="str">
        <f t="shared" si="2"/>
        <v/>
      </c>
      <c r="G19" s="33" t="str">
        <f t="shared" si="3"/>
        <v/>
      </c>
    </row>
    <row r="20" spans="1:7" ht="17.25">
      <c r="A20" s="40">
        <v>10</v>
      </c>
      <c r="B20" s="34"/>
      <c r="C20" s="30" t="str">
        <f t="shared" si="0"/>
        <v/>
      </c>
      <c r="D20" s="31" t="str">
        <f t="shared" si="1"/>
        <v/>
      </c>
      <c r="E20" s="32"/>
      <c r="F20" s="33" t="str">
        <f t="shared" si="2"/>
        <v/>
      </c>
      <c r="G20" s="33" t="str">
        <f t="shared" si="3"/>
        <v/>
      </c>
    </row>
    <row r="21" spans="1:7" ht="17.25">
      <c r="A21" s="114" t="s">
        <v>220</v>
      </c>
      <c r="B21" s="114"/>
      <c r="C21" s="114"/>
      <c r="D21" s="115" t="s">
        <v>221</v>
      </c>
      <c r="E21" s="115"/>
      <c r="F21" s="115"/>
      <c r="G21" s="33">
        <f>SUM(G11:G20)</f>
        <v>36900</v>
      </c>
    </row>
    <row r="22" spans="1:7" ht="17.25">
      <c r="A22" s="107"/>
      <c r="B22" s="107"/>
      <c r="C22" s="107"/>
      <c r="D22" s="115" t="s">
        <v>222</v>
      </c>
      <c r="E22" s="115"/>
      <c r="F22" s="115"/>
      <c r="G22" s="33">
        <f>G21*19%</f>
        <v>7011</v>
      </c>
    </row>
    <row r="23" spans="1:7" ht="17.25">
      <c r="A23" s="107"/>
      <c r="B23" s="107"/>
      <c r="C23" s="107"/>
      <c r="D23" s="116" t="s">
        <v>223</v>
      </c>
      <c r="E23" s="116"/>
      <c r="F23" s="116"/>
      <c r="G23" s="33">
        <f>G21+G22</f>
        <v>43911</v>
      </c>
    </row>
    <row r="24" spans="1:7" ht="17.25">
      <c r="A24" s="107"/>
      <c r="B24" s="107"/>
      <c r="C24" s="107"/>
      <c r="D24" s="39" t="s">
        <v>224</v>
      </c>
      <c r="E24" s="30">
        <v>1000350620</v>
      </c>
      <c r="F24" s="107" t="str">
        <f>CONCATENATE(VLOOKUP(E24,TABLAVENDEDOR,2,FALSE)," ",VLOOKUP(E24,TABLAVENDEDOR,3,FALSE))</f>
        <v>Esteban David Pedrozo Aldaba</v>
      </c>
      <c r="G24" s="107"/>
    </row>
  </sheetData>
  <mergeCells count="14">
    <mergeCell ref="A21:C21"/>
    <mergeCell ref="A22:C24"/>
    <mergeCell ref="D21:F21"/>
    <mergeCell ref="D22:F22"/>
    <mergeCell ref="D23:F23"/>
    <mergeCell ref="F24:G24"/>
    <mergeCell ref="E9:G9"/>
    <mergeCell ref="B9:C9"/>
    <mergeCell ref="B8:G8"/>
    <mergeCell ref="A6:B6"/>
    <mergeCell ref="C6:D6"/>
    <mergeCell ref="F6:G6"/>
    <mergeCell ref="E7:G7"/>
    <mergeCell ref="B7:D7"/>
  </mergeCells>
  <pageMargins left="0.70866141732283472" right="0.70866141732283472" top="1.299212598425197" bottom="0.74803149606299213" header="0.31496062992125984" footer="0.31496062992125984"/>
  <pageSetup scale="95" fitToWidth="0" fitToHeight="0" orientation="portrait" r:id="rId1"/>
  <headerFooter>
    <oddHeader>&amp;R
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Productos!$B$10:$B$30</xm:f>
          </x14:formula1>
          <xm:sqref>B11:B20</xm:sqref>
        </x14:dataValidation>
        <x14:dataValidation type="list" allowBlank="1" showInputMessage="1" showErrorMessage="1" xr:uid="{00000000-0002-0000-0600-000001000000}">
          <x14:formula1>
            <xm:f>CLIENTES!$B$4:$B$24</xm:f>
          </x14:formula1>
          <xm:sqref>C6:D6</xm:sqref>
        </x14:dataValidation>
        <x14:dataValidation type="list" allowBlank="1" showInputMessage="1" showErrorMessage="1" xr:uid="{00000000-0002-0000-0600-000002000000}">
          <x14:formula1>
            <xm:f>VENDEDOR!$B$4:$B$7</xm:f>
          </x14:formula1>
          <xm:sqref>E24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S4"/>
  <sheetViews>
    <sheetView topLeftCell="F1" zoomScale="70" zoomScaleNormal="70" workbookViewId="0">
      <selection activeCell="C4" sqref="C4"/>
    </sheetView>
  </sheetViews>
  <sheetFormatPr baseColWidth="10" defaultRowHeight="15"/>
  <cols>
    <col min="1" max="1" width="20.85546875" customWidth="1"/>
    <col min="2" max="2" width="29.7109375" customWidth="1"/>
    <col min="3" max="3" width="21.140625" customWidth="1"/>
    <col min="4" max="4" width="17" customWidth="1"/>
    <col min="5" max="5" width="30.7109375" customWidth="1"/>
    <col min="6" max="6" width="17.140625" customWidth="1"/>
    <col min="7" max="7" width="12.7109375" customWidth="1"/>
    <col min="8" max="8" width="17.42578125" customWidth="1"/>
    <col min="9" max="9" width="38.7109375" customWidth="1"/>
    <col min="10" max="10" width="24.28515625" customWidth="1"/>
    <col min="11" max="11" width="10.140625" customWidth="1"/>
    <col min="12" max="12" width="31" customWidth="1"/>
    <col min="13" max="13" width="19.5703125" customWidth="1"/>
    <col min="14" max="14" width="19.7109375" customWidth="1"/>
    <col min="15" max="15" width="10.5703125" customWidth="1"/>
    <col min="16" max="16" width="10.42578125" customWidth="1"/>
    <col min="17" max="17" width="14" customWidth="1"/>
    <col min="18" max="18" width="16.28515625" customWidth="1"/>
    <col min="19" max="19" width="27.85546875" customWidth="1"/>
  </cols>
  <sheetData>
    <row r="1" spans="1:19" ht="15" customHeight="1">
      <c r="A1" s="117" t="s">
        <v>226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</row>
    <row r="2" spans="1:19" ht="15" customHeight="1">
      <c r="A2" s="119"/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</row>
    <row r="3" spans="1:19" ht="25.5">
      <c r="A3" s="43" t="s">
        <v>227</v>
      </c>
      <c r="B3" s="43" t="s">
        <v>209</v>
      </c>
      <c r="C3" s="43" t="s">
        <v>228</v>
      </c>
      <c r="D3" s="43" t="s">
        <v>229</v>
      </c>
      <c r="E3" s="43" t="s">
        <v>230</v>
      </c>
      <c r="F3" s="43" t="s">
        <v>208</v>
      </c>
      <c r="G3" s="43" t="s">
        <v>271</v>
      </c>
      <c r="H3" s="43" t="s">
        <v>231</v>
      </c>
      <c r="I3" s="44" t="s">
        <v>232</v>
      </c>
      <c r="J3" s="44" t="s">
        <v>215</v>
      </c>
      <c r="K3" s="44" t="s">
        <v>217</v>
      </c>
      <c r="L3" s="44" t="s">
        <v>216</v>
      </c>
      <c r="M3" s="44" t="s">
        <v>218</v>
      </c>
      <c r="N3" s="44" t="s">
        <v>219</v>
      </c>
      <c r="O3" s="44" t="s">
        <v>233</v>
      </c>
      <c r="P3" s="44" t="s">
        <v>222</v>
      </c>
      <c r="Q3" s="44" t="s">
        <v>234</v>
      </c>
      <c r="R3" s="44" t="s">
        <v>281</v>
      </c>
      <c r="S3" s="44" t="s">
        <v>282</v>
      </c>
    </row>
    <row r="4" spans="1:19" ht="67.5" customHeight="1">
      <c r="A4" s="72">
        <v>1010051342</v>
      </c>
      <c r="B4" s="76" t="s">
        <v>235</v>
      </c>
      <c r="C4" s="77" t="s">
        <v>116</v>
      </c>
      <c r="D4" s="73">
        <v>3118271726</v>
      </c>
      <c r="E4" s="74" t="s">
        <v>117</v>
      </c>
      <c r="F4" s="78">
        <f ca="1">NOW()</f>
        <v>44375.596666550926</v>
      </c>
      <c r="G4" s="45" t="s">
        <v>272</v>
      </c>
      <c r="H4" s="45" t="s">
        <v>236</v>
      </c>
      <c r="I4" s="45" t="s">
        <v>237</v>
      </c>
      <c r="J4" s="45" t="s">
        <v>275</v>
      </c>
      <c r="K4" s="45" t="s">
        <v>278</v>
      </c>
      <c r="L4" s="46" t="s">
        <v>261</v>
      </c>
      <c r="M4" s="47" t="s">
        <v>279</v>
      </c>
      <c r="N4" s="45" t="s">
        <v>280</v>
      </c>
      <c r="O4" s="48">
        <v>104800</v>
      </c>
      <c r="P4" s="49">
        <v>19912</v>
      </c>
      <c r="Q4" s="49">
        <v>124712</v>
      </c>
      <c r="R4" s="79">
        <v>1016943117</v>
      </c>
      <c r="S4" s="50" t="s">
        <v>239</v>
      </c>
    </row>
  </sheetData>
  <mergeCells count="1">
    <mergeCell ref="A1:S2"/>
  </mergeCells>
  <phoneticPr fontId="22" type="noConversion"/>
  <hyperlinks>
    <hyperlink ref="E4" r:id="rId1" xr:uid="{00000000-0004-0000-0700-000000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12"/>
  <sheetViews>
    <sheetView topLeftCell="G1" workbookViewId="0">
      <selection activeCell="O11" sqref="O11"/>
    </sheetView>
  </sheetViews>
  <sheetFormatPr baseColWidth="10" defaultRowHeight="15"/>
  <cols>
    <col min="1" max="1" width="17.28515625" customWidth="1"/>
    <col min="2" max="2" width="10" customWidth="1"/>
    <col min="3" max="3" width="10.5703125" customWidth="1"/>
    <col min="4" max="4" width="10.7109375" customWidth="1"/>
    <col min="5" max="5" width="11.140625" customWidth="1"/>
    <col min="6" max="6" width="19.28515625" customWidth="1"/>
    <col min="7" max="7" width="12.42578125" bestFit="1" customWidth="1"/>
    <col min="8" max="8" width="27.7109375" customWidth="1"/>
    <col min="9" max="9" width="14" customWidth="1"/>
    <col min="10" max="10" width="15.85546875" customWidth="1"/>
    <col min="11" max="11" width="18.5703125" customWidth="1"/>
    <col min="12" max="12" width="10.7109375" customWidth="1"/>
    <col min="13" max="13" width="11.85546875" customWidth="1"/>
    <col min="14" max="14" width="13.7109375" customWidth="1"/>
    <col min="15" max="15" width="11.85546875" bestFit="1" customWidth="1"/>
    <col min="16" max="16" width="11.5703125" bestFit="1" customWidth="1"/>
    <col min="17" max="17" width="9.5703125" customWidth="1"/>
    <col min="18" max="19" width="11.5703125" bestFit="1" customWidth="1"/>
    <col min="20" max="20" width="18" customWidth="1"/>
    <col min="21" max="21" width="17" customWidth="1"/>
    <col min="22" max="22" width="10.140625" customWidth="1"/>
    <col min="23" max="23" width="10.28515625" customWidth="1"/>
  </cols>
  <sheetData>
    <row r="1" spans="1:25">
      <c r="A1" s="121" t="s">
        <v>209</v>
      </c>
      <c r="B1" s="121"/>
      <c r="C1" s="121"/>
      <c r="D1" s="121"/>
      <c r="E1" s="121"/>
      <c r="F1" s="121"/>
      <c r="G1" s="121"/>
      <c r="H1" s="121"/>
      <c r="I1" s="122" t="s">
        <v>273</v>
      </c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1" t="s">
        <v>224</v>
      </c>
      <c r="V1" s="121"/>
      <c r="W1" s="121"/>
      <c r="X1" s="121"/>
      <c r="Y1" s="121"/>
    </row>
    <row r="2" spans="1:25" ht="38.25">
      <c r="A2" s="43" t="s">
        <v>227</v>
      </c>
      <c r="B2" s="43" t="s">
        <v>267</v>
      </c>
      <c r="C2" s="43" t="s">
        <v>268</v>
      </c>
      <c r="D2" s="43" t="s">
        <v>269</v>
      </c>
      <c r="E2" s="43" t="s">
        <v>270</v>
      </c>
      <c r="F2" s="43" t="s">
        <v>228</v>
      </c>
      <c r="G2" s="43" t="s">
        <v>229</v>
      </c>
      <c r="H2" s="43" t="s">
        <v>230</v>
      </c>
      <c r="I2" s="43" t="s">
        <v>271</v>
      </c>
      <c r="J2" s="43" t="s">
        <v>208</v>
      </c>
      <c r="K2" s="43" t="s">
        <v>231</v>
      </c>
      <c r="L2" s="44" t="s">
        <v>232</v>
      </c>
      <c r="M2" s="44" t="s">
        <v>215</v>
      </c>
      <c r="N2" s="44" t="s">
        <v>217</v>
      </c>
      <c r="O2" s="44" t="s">
        <v>216</v>
      </c>
      <c r="P2" s="44" t="s">
        <v>218</v>
      </c>
      <c r="Q2" s="44" t="s">
        <v>219</v>
      </c>
      <c r="R2" s="44" t="s">
        <v>233</v>
      </c>
      <c r="S2" s="44" t="s">
        <v>222</v>
      </c>
      <c r="T2" s="44" t="s">
        <v>234</v>
      </c>
      <c r="U2" s="44" t="s">
        <v>281</v>
      </c>
      <c r="V2" s="44" t="s">
        <v>267</v>
      </c>
      <c r="W2" s="44" t="s">
        <v>268</v>
      </c>
      <c r="X2" s="44" t="s">
        <v>269</v>
      </c>
      <c r="Y2" s="44" t="s">
        <v>270</v>
      </c>
    </row>
    <row r="3" spans="1:25" ht="38.25">
      <c r="A3" s="72">
        <v>1010051342</v>
      </c>
      <c r="B3" s="72" t="s">
        <v>240</v>
      </c>
      <c r="C3" s="72" t="s">
        <v>241</v>
      </c>
      <c r="D3" s="72" t="s">
        <v>242</v>
      </c>
      <c r="E3" s="72" t="s">
        <v>243</v>
      </c>
      <c r="F3" s="73" t="s">
        <v>116</v>
      </c>
      <c r="G3" s="73">
        <v>3118271726</v>
      </c>
      <c r="H3" s="74" t="s">
        <v>117</v>
      </c>
      <c r="I3" s="45" t="s">
        <v>272</v>
      </c>
      <c r="J3" s="75">
        <f t="shared" ref="J3:J12" ca="1" si="0">NOW()</f>
        <v>44375.596666550926</v>
      </c>
      <c r="K3" s="45">
        <v>1</v>
      </c>
      <c r="L3" s="45" t="s">
        <v>244</v>
      </c>
      <c r="M3" s="45" t="s">
        <v>274</v>
      </c>
      <c r="N3" s="45">
        <v>3</v>
      </c>
      <c r="O3" s="46" t="s">
        <v>238</v>
      </c>
      <c r="P3" s="48">
        <v>20000</v>
      </c>
      <c r="Q3" s="48">
        <v>60000</v>
      </c>
      <c r="R3" s="48">
        <v>104800</v>
      </c>
      <c r="S3" s="49">
        <v>19912</v>
      </c>
      <c r="T3" s="49">
        <v>124712</v>
      </c>
      <c r="U3" s="73">
        <v>1016943117</v>
      </c>
      <c r="V3" s="50" t="s">
        <v>263</v>
      </c>
      <c r="W3" s="72" t="s">
        <v>264</v>
      </c>
      <c r="X3" s="72" t="s">
        <v>265</v>
      </c>
      <c r="Y3" s="72" t="s">
        <v>266</v>
      </c>
    </row>
    <row r="4" spans="1:25" ht="25.5">
      <c r="A4" s="72">
        <v>1010051342</v>
      </c>
      <c r="B4" s="72" t="s">
        <v>240</v>
      </c>
      <c r="C4" s="72" t="s">
        <v>241</v>
      </c>
      <c r="D4" s="72" t="s">
        <v>242</v>
      </c>
      <c r="E4" s="72" t="s">
        <v>243</v>
      </c>
      <c r="F4" s="73" t="s">
        <v>116</v>
      </c>
      <c r="G4" s="73">
        <v>3118271727</v>
      </c>
      <c r="H4" s="74" t="s">
        <v>117</v>
      </c>
      <c r="I4" s="45" t="s">
        <v>272</v>
      </c>
      <c r="J4" s="75">
        <f t="shared" ca="1" si="0"/>
        <v>44375.596666550926</v>
      </c>
      <c r="K4" s="45">
        <v>2</v>
      </c>
      <c r="L4" s="45" t="s">
        <v>245</v>
      </c>
      <c r="M4" s="45" t="s">
        <v>9</v>
      </c>
      <c r="N4" s="45">
        <v>1</v>
      </c>
      <c r="O4" s="46" t="s">
        <v>254</v>
      </c>
      <c r="P4" s="48">
        <v>9000</v>
      </c>
      <c r="Q4" s="48">
        <v>9000</v>
      </c>
      <c r="R4" s="48">
        <v>104800</v>
      </c>
      <c r="S4" s="49">
        <v>19912</v>
      </c>
      <c r="T4" s="49">
        <v>124712</v>
      </c>
      <c r="U4" s="73">
        <v>1016943117</v>
      </c>
      <c r="V4" s="50" t="s">
        <v>263</v>
      </c>
      <c r="W4" s="72" t="s">
        <v>264</v>
      </c>
      <c r="X4" s="72" t="s">
        <v>265</v>
      </c>
      <c r="Y4" s="72" t="s">
        <v>266</v>
      </c>
    </row>
    <row r="5" spans="1:25" ht="25.5">
      <c r="A5" s="72">
        <v>1010051342</v>
      </c>
      <c r="B5" s="72" t="s">
        <v>240</v>
      </c>
      <c r="C5" s="72" t="s">
        <v>241</v>
      </c>
      <c r="D5" s="72" t="s">
        <v>242</v>
      </c>
      <c r="E5" s="72" t="s">
        <v>243</v>
      </c>
      <c r="F5" s="73" t="s">
        <v>116</v>
      </c>
      <c r="G5" s="73">
        <v>3118271728</v>
      </c>
      <c r="H5" s="74" t="s">
        <v>117</v>
      </c>
      <c r="I5" s="45" t="s">
        <v>272</v>
      </c>
      <c r="J5" s="75">
        <f t="shared" ca="1" si="0"/>
        <v>44375.596666550926</v>
      </c>
      <c r="K5" s="45">
        <v>3</v>
      </c>
      <c r="L5" s="45" t="s">
        <v>246</v>
      </c>
      <c r="M5" s="45" t="s">
        <v>10</v>
      </c>
      <c r="N5" s="45">
        <v>1</v>
      </c>
      <c r="O5" s="46" t="s">
        <v>255</v>
      </c>
      <c r="P5" s="48">
        <v>1700</v>
      </c>
      <c r="Q5" s="48">
        <v>1700</v>
      </c>
      <c r="R5" s="48">
        <v>104800</v>
      </c>
      <c r="S5" s="49">
        <v>19912</v>
      </c>
      <c r="T5" s="49">
        <v>124712</v>
      </c>
      <c r="U5" s="73">
        <v>1016943117</v>
      </c>
      <c r="V5" s="50" t="s">
        <v>263</v>
      </c>
      <c r="W5" s="72" t="s">
        <v>264</v>
      </c>
      <c r="X5" s="72" t="s">
        <v>265</v>
      </c>
      <c r="Y5" s="72" t="s">
        <v>266</v>
      </c>
    </row>
    <row r="6" spans="1:25" ht="25.5">
      <c r="A6" s="72">
        <v>1010051342</v>
      </c>
      <c r="B6" s="72" t="s">
        <v>240</v>
      </c>
      <c r="C6" s="72" t="s">
        <v>241</v>
      </c>
      <c r="D6" s="72" t="s">
        <v>242</v>
      </c>
      <c r="E6" s="72" t="s">
        <v>243</v>
      </c>
      <c r="F6" s="73" t="s">
        <v>116</v>
      </c>
      <c r="G6" s="73">
        <v>3118271729</v>
      </c>
      <c r="H6" s="74" t="s">
        <v>117</v>
      </c>
      <c r="I6" s="45" t="s">
        <v>272</v>
      </c>
      <c r="J6" s="75">
        <f t="shared" ca="1" si="0"/>
        <v>44375.596666550926</v>
      </c>
      <c r="K6" s="45">
        <v>4</v>
      </c>
      <c r="L6" s="45" t="s">
        <v>247</v>
      </c>
      <c r="M6" s="45" t="s">
        <v>11</v>
      </c>
      <c r="N6" s="45">
        <v>1</v>
      </c>
      <c r="O6" s="46" t="s">
        <v>256</v>
      </c>
      <c r="P6" s="48">
        <v>2000</v>
      </c>
      <c r="Q6" s="48">
        <v>2000</v>
      </c>
      <c r="R6" s="48">
        <v>104800</v>
      </c>
      <c r="S6" s="49">
        <v>19912</v>
      </c>
      <c r="T6" s="49">
        <v>124712</v>
      </c>
      <c r="U6" s="73">
        <v>1016943117</v>
      </c>
      <c r="V6" s="50" t="s">
        <v>263</v>
      </c>
      <c r="W6" s="72" t="s">
        <v>264</v>
      </c>
      <c r="X6" s="72" t="s">
        <v>265</v>
      </c>
      <c r="Y6" s="72" t="s">
        <v>266</v>
      </c>
    </row>
    <row r="7" spans="1:25" ht="25.5">
      <c r="A7" s="72">
        <v>1010051342</v>
      </c>
      <c r="B7" s="72" t="s">
        <v>240</v>
      </c>
      <c r="C7" s="72" t="s">
        <v>241</v>
      </c>
      <c r="D7" s="72" t="s">
        <v>242</v>
      </c>
      <c r="E7" s="72" t="s">
        <v>243</v>
      </c>
      <c r="F7" s="73" t="s">
        <v>116</v>
      </c>
      <c r="G7" s="73">
        <v>3118271730</v>
      </c>
      <c r="H7" s="74" t="s">
        <v>117</v>
      </c>
      <c r="I7" s="45" t="s">
        <v>272</v>
      </c>
      <c r="J7" s="75">
        <f t="shared" ca="1" si="0"/>
        <v>44375.596666550926</v>
      </c>
      <c r="K7" s="45">
        <v>5</v>
      </c>
      <c r="L7" s="45" t="s">
        <v>248</v>
      </c>
      <c r="M7" s="45" t="s">
        <v>276</v>
      </c>
      <c r="N7" s="45">
        <v>1</v>
      </c>
      <c r="O7" s="46" t="s">
        <v>257</v>
      </c>
      <c r="P7" s="48">
        <v>8500</v>
      </c>
      <c r="Q7" s="48">
        <v>8500</v>
      </c>
      <c r="R7" s="48">
        <v>104800</v>
      </c>
      <c r="S7" s="49">
        <v>19912</v>
      </c>
      <c r="T7" s="49">
        <v>124712</v>
      </c>
      <c r="U7" s="73">
        <v>1016943117</v>
      </c>
      <c r="V7" s="50" t="s">
        <v>263</v>
      </c>
      <c r="W7" s="72" t="s">
        <v>264</v>
      </c>
      <c r="X7" s="72" t="s">
        <v>265</v>
      </c>
      <c r="Y7" s="72" t="s">
        <v>266</v>
      </c>
    </row>
    <row r="8" spans="1:25" ht="25.5">
      <c r="A8" s="72">
        <v>1010051342</v>
      </c>
      <c r="B8" s="72" t="s">
        <v>240</v>
      </c>
      <c r="C8" s="72" t="s">
        <v>241</v>
      </c>
      <c r="D8" s="72" t="s">
        <v>242</v>
      </c>
      <c r="E8" s="72" t="s">
        <v>243</v>
      </c>
      <c r="F8" s="73" t="s">
        <v>116</v>
      </c>
      <c r="G8" s="73">
        <v>3118271731</v>
      </c>
      <c r="H8" s="74" t="s">
        <v>117</v>
      </c>
      <c r="I8" s="45" t="s">
        <v>272</v>
      </c>
      <c r="J8" s="75">
        <f t="shared" ca="1" si="0"/>
        <v>44375.596666550926</v>
      </c>
      <c r="K8" s="45">
        <v>6</v>
      </c>
      <c r="L8" s="45" t="s">
        <v>249</v>
      </c>
      <c r="M8" s="45" t="s">
        <v>13</v>
      </c>
      <c r="N8" s="45">
        <v>1</v>
      </c>
      <c r="O8" s="46" t="s">
        <v>262</v>
      </c>
      <c r="P8" s="48">
        <v>1100</v>
      </c>
      <c r="Q8" s="48">
        <v>1100</v>
      </c>
      <c r="R8" s="48">
        <v>104800</v>
      </c>
      <c r="S8" s="49">
        <v>19912</v>
      </c>
      <c r="T8" s="49">
        <v>124712</v>
      </c>
      <c r="U8" s="73">
        <v>1016943117</v>
      </c>
      <c r="V8" s="50" t="s">
        <v>263</v>
      </c>
      <c r="W8" s="72" t="s">
        <v>264</v>
      </c>
      <c r="X8" s="72" t="s">
        <v>265</v>
      </c>
      <c r="Y8" s="72" t="s">
        <v>266</v>
      </c>
    </row>
    <row r="9" spans="1:25" ht="25.5">
      <c r="A9" s="72">
        <v>1010051342</v>
      </c>
      <c r="B9" s="72" t="s">
        <v>240</v>
      </c>
      <c r="C9" s="72" t="s">
        <v>241</v>
      </c>
      <c r="D9" s="72" t="s">
        <v>242</v>
      </c>
      <c r="E9" s="72" t="s">
        <v>243</v>
      </c>
      <c r="F9" s="73" t="s">
        <v>116</v>
      </c>
      <c r="G9" s="73">
        <v>3118271732</v>
      </c>
      <c r="H9" s="74" t="s">
        <v>117</v>
      </c>
      <c r="I9" s="45" t="s">
        <v>272</v>
      </c>
      <c r="J9" s="75">
        <f t="shared" ca="1" si="0"/>
        <v>44375.596666550926</v>
      </c>
      <c r="K9" s="45">
        <v>7</v>
      </c>
      <c r="L9" s="45" t="s">
        <v>250</v>
      </c>
      <c r="M9" s="45" t="s">
        <v>14</v>
      </c>
      <c r="N9" s="45">
        <v>1</v>
      </c>
      <c r="O9" s="46" t="s">
        <v>258</v>
      </c>
      <c r="P9" s="48">
        <v>1100</v>
      </c>
      <c r="Q9" s="48">
        <v>1100</v>
      </c>
      <c r="R9" s="48">
        <v>104800</v>
      </c>
      <c r="S9" s="49">
        <v>19912</v>
      </c>
      <c r="T9" s="49">
        <v>124712</v>
      </c>
      <c r="U9" s="73">
        <v>1016943117</v>
      </c>
      <c r="V9" s="50" t="s">
        <v>263</v>
      </c>
      <c r="W9" s="72" t="s">
        <v>264</v>
      </c>
      <c r="X9" s="72" t="s">
        <v>265</v>
      </c>
      <c r="Y9" s="72" t="s">
        <v>266</v>
      </c>
    </row>
    <row r="10" spans="1:25" ht="25.5">
      <c r="A10" s="72">
        <v>1010051342</v>
      </c>
      <c r="B10" s="72" t="s">
        <v>240</v>
      </c>
      <c r="C10" s="72" t="s">
        <v>241</v>
      </c>
      <c r="D10" s="72" t="s">
        <v>242</v>
      </c>
      <c r="E10" s="72" t="s">
        <v>243</v>
      </c>
      <c r="F10" s="73" t="s">
        <v>116</v>
      </c>
      <c r="G10" s="73">
        <v>3118271733</v>
      </c>
      <c r="H10" s="74" t="s">
        <v>117</v>
      </c>
      <c r="I10" s="45" t="s">
        <v>272</v>
      </c>
      <c r="J10" s="75">
        <f t="shared" ca="1" si="0"/>
        <v>44375.596666550926</v>
      </c>
      <c r="K10" s="45">
        <v>8</v>
      </c>
      <c r="L10" s="45" t="s">
        <v>251</v>
      </c>
      <c r="M10" s="45" t="s">
        <v>15</v>
      </c>
      <c r="N10" s="45">
        <v>1</v>
      </c>
      <c r="O10" s="46" t="s">
        <v>259</v>
      </c>
      <c r="P10" s="48">
        <v>1600</v>
      </c>
      <c r="Q10" s="48">
        <v>1600</v>
      </c>
      <c r="R10" s="48">
        <v>104800</v>
      </c>
      <c r="S10" s="49">
        <v>19912</v>
      </c>
      <c r="T10" s="49">
        <v>124712</v>
      </c>
      <c r="U10" s="73">
        <v>1016943117</v>
      </c>
      <c r="V10" s="50" t="s">
        <v>263</v>
      </c>
      <c r="W10" s="72" t="s">
        <v>264</v>
      </c>
      <c r="X10" s="72" t="s">
        <v>265</v>
      </c>
      <c r="Y10" s="72" t="s">
        <v>266</v>
      </c>
    </row>
    <row r="11" spans="1:25" ht="25.5">
      <c r="A11" s="72">
        <v>1010051342</v>
      </c>
      <c r="B11" s="72" t="s">
        <v>240</v>
      </c>
      <c r="C11" s="72" t="s">
        <v>241</v>
      </c>
      <c r="D11" s="72" t="s">
        <v>242</v>
      </c>
      <c r="E11" s="72" t="s">
        <v>243</v>
      </c>
      <c r="F11" s="73" t="s">
        <v>116</v>
      </c>
      <c r="G11" s="73">
        <v>3118271734</v>
      </c>
      <c r="H11" s="74" t="s">
        <v>117</v>
      </c>
      <c r="I11" s="45" t="s">
        <v>272</v>
      </c>
      <c r="J11" s="75">
        <f t="shared" ca="1" si="0"/>
        <v>44375.596666550926</v>
      </c>
      <c r="K11" s="45">
        <v>9</v>
      </c>
      <c r="L11" s="45" t="s">
        <v>252</v>
      </c>
      <c r="M11" s="45" t="s">
        <v>16</v>
      </c>
      <c r="N11" s="45">
        <v>1</v>
      </c>
      <c r="O11" s="46" t="s">
        <v>289</v>
      </c>
      <c r="P11" s="48">
        <v>5900</v>
      </c>
      <c r="Q11" s="48">
        <v>5900</v>
      </c>
      <c r="R11" s="48">
        <v>104800</v>
      </c>
      <c r="S11" s="49">
        <v>19912</v>
      </c>
      <c r="T11" s="49">
        <v>124712</v>
      </c>
      <c r="U11" s="73">
        <v>1016943117</v>
      </c>
      <c r="V11" s="50" t="s">
        <v>263</v>
      </c>
      <c r="W11" s="72" t="s">
        <v>264</v>
      </c>
      <c r="X11" s="72" t="s">
        <v>265</v>
      </c>
      <c r="Y11" s="72" t="s">
        <v>266</v>
      </c>
    </row>
    <row r="12" spans="1:25" ht="25.5">
      <c r="A12" s="72">
        <v>1010051342</v>
      </c>
      <c r="B12" s="72" t="s">
        <v>240</v>
      </c>
      <c r="C12" s="72" t="s">
        <v>241</v>
      </c>
      <c r="D12" s="72" t="s">
        <v>242</v>
      </c>
      <c r="E12" s="72" t="s">
        <v>243</v>
      </c>
      <c r="F12" s="73" t="s">
        <v>116</v>
      </c>
      <c r="G12" s="73">
        <v>3118271735</v>
      </c>
      <c r="H12" s="74" t="s">
        <v>117</v>
      </c>
      <c r="I12" s="45" t="s">
        <v>272</v>
      </c>
      <c r="J12" s="75">
        <f t="shared" ca="1" si="0"/>
        <v>44375.596666550926</v>
      </c>
      <c r="K12" s="45">
        <v>10</v>
      </c>
      <c r="L12" s="45" t="s">
        <v>253</v>
      </c>
      <c r="M12" s="45" t="s">
        <v>17</v>
      </c>
      <c r="N12" s="45">
        <v>1</v>
      </c>
      <c r="O12" s="46" t="s">
        <v>260</v>
      </c>
      <c r="P12" s="48">
        <v>13909</v>
      </c>
      <c r="Q12" s="48">
        <v>13909</v>
      </c>
      <c r="R12" s="48">
        <v>104800</v>
      </c>
      <c r="S12" s="49">
        <v>19912</v>
      </c>
      <c r="T12" s="49">
        <v>124712</v>
      </c>
      <c r="U12" s="73">
        <v>1016943117</v>
      </c>
      <c r="V12" s="50" t="s">
        <v>263</v>
      </c>
      <c r="W12" s="72" t="s">
        <v>264</v>
      </c>
      <c r="X12" s="72" t="s">
        <v>265</v>
      </c>
      <c r="Y12" s="72" t="s">
        <v>266</v>
      </c>
    </row>
  </sheetData>
  <mergeCells count="3">
    <mergeCell ref="A1:H1"/>
    <mergeCell ref="I1:T1"/>
    <mergeCell ref="U1:Y1"/>
  </mergeCells>
  <phoneticPr fontId="22" type="noConversion"/>
  <hyperlinks>
    <hyperlink ref="H3" r:id="rId1" xr:uid="{00000000-0004-0000-0800-000000000000}"/>
    <hyperlink ref="H4" r:id="rId2" xr:uid="{00000000-0004-0000-0800-000001000000}"/>
    <hyperlink ref="H5" r:id="rId3" xr:uid="{00000000-0004-0000-0800-000002000000}"/>
    <hyperlink ref="H6" r:id="rId4" xr:uid="{00000000-0004-0000-0800-000003000000}"/>
    <hyperlink ref="H7" r:id="rId5" xr:uid="{00000000-0004-0000-0800-000004000000}"/>
    <hyperlink ref="H8" r:id="rId6" xr:uid="{00000000-0004-0000-0800-000005000000}"/>
    <hyperlink ref="H9" r:id="rId7" xr:uid="{00000000-0004-0000-0800-000006000000}"/>
    <hyperlink ref="H10" r:id="rId8" xr:uid="{00000000-0004-0000-0800-000007000000}"/>
    <hyperlink ref="H11" r:id="rId9" xr:uid="{00000000-0004-0000-0800-000008000000}"/>
    <hyperlink ref="H12" r:id="rId10" xr:uid="{00000000-0004-0000-0800-0000090000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Q28"/>
  <sheetViews>
    <sheetView zoomScale="80" zoomScaleNormal="80" workbookViewId="0">
      <selection activeCell="A20" sqref="A20:B22"/>
    </sheetView>
  </sheetViews>
  <sheetFormatPr baseColWidth="10" defaultRowHeight="15"/>
  <cols>
    <col min="1" max="1" width="17.85546875" customWidth="1"/>
    <col min="2" max="2" width="16.5703125" customWidth="1"/>
    <col min="3" max="3" width="12.5703125" customWidth="1"/>
    <col min="5" max="5" width="14.28515625" customWidth="1"/>
    <col min="6" max="6" width="22.42578125" customWidth="1"/>
    <col min="7" max="7" width="20" customWidth="1"/>
    <col min="8" max="8" width="30.42578125" customWidth="1"/>
    <col min="9" max="9" width="16.140625" customWidth="1"/>
    <col min="10" max="10" width="10.5703125" customWidth="1"/>
    <col min="11" max="11" width="14.28515625" customWidth="1"/>
    <col min="12" max="12" width="10.85546875" customWidth="1"/>
    <col min="13" max="13" width="16.140625" customWidth="1"/>
  </cols>
  <sheetData>
    <row r="1" spans="1:17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</row>
    <row r="2" spans="1:17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>
      <c r="A3" s="121" t="s">
        <v>209</v>
      </c>
      <c r="B3" s="121"/>
      <c r="C3" s="121"/>
      <c r="D3" s="121"/>
      <c r="E3" s="121"/>
      <c r="F3" s="121"/>
      <c r="G3" s="121"/>
      <c r="H3" s="121"/>
      <c r="I3" s="57"/>
      <c r="J3" s="57"/>
      <c r="K3" s="66"/>
      <c r="L3" s="66"/>
      <c r="M3" s="66"/>
      <c r="N3" s="66"/>
      <c r="O3" s="66"/>
      <c r="P3" s="57"/>
      <c r="Q3" s="57"/>
    </row>
    <row r="4" spans="1:17">
      <c r="A4" s="53" t="s">
        <v>227</v>
      </c>
      <c r="B4" s="53" t="s">
        <v>267</v>
      </c>
      <c r="C4" s="53" t="s">
        <v>268</v>
      </c>
      <c r="D4" s="53" t="s">
        <v>269</v>
      </c>
      <c r="E4" s="53" t="s">
        <v>270</v>
      </c>
      <c r="F4" s="53" t="s">
        <v>228</v>
      </c>
      <c r="G4" s="53" t="s">
        <v>229</v>
      </c>
      <c r="H4" s="53" t="s">
        <v>230</v>
      </c>
      <c r="I4" s="57"/>
      <c r="J4" s="57"/>
      <c r="K4" s="41"/>
      <c r="L4" s="41"/>
      <c r="M4" s="41"/>
      <c r="N4" s="41"/>
      <c r="O4" s="41"/>
      <c r="P4" s="67"/>
      <c r="Q4" s="57"/>
    </row>
    <row r="5" spans="1:17">
      <c r="A5" s="68">
        <v>1010051342</v>
      </c>
      <c r="B5" s="56" t="s">
        <v>240</v>
      </c>
      <c r="C5" s="56" t="s">
        <v>241</v>
      </c>
      <c r="D5" s="56" t="s">
        <v>242</v>
      </c>
      <c r="E5" s="56" t="s">
        <v>243</v>
      </c>
      <c r="F5" s="58" t="s">
        <v>116</v>
      </c>
      <c r="G5" s="58">
        <v>3118271726</v>
      </c>
      <c r="H5" s="69" t="s">
        <v>117</v>
      </c>
      <c r="I5" s="57"/>
      <c r="J5" s="57"/>
      <c r="K5" s="70"/>
      <c r="L5" s="42"/>
      <c r="M5" s="71"/>
      <c r="N5" s="71"/>
      <c r="O5" s="71"/>
      <c r="P5" s="67"/>
      <c r="Q5" s="57"/>
    </row>
    <row r="6" spans="1:17">
      <c r="A6" s="57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>
      <c r="A7" s="121" t="s">
        <v>273</v>
      </c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5" t="s">
        <v>224</v>
      </c>
      <c r="N7" s="126"/>
      <c r="O7" s="126"/>
      <c r="P7" s="126"/>
      <c r="Q7" s="126"/>
    </row>
    <row r="8" spans="1:17" ht="25.5">
      <c r="A8" s="53" t="s">
        <v>271</v>
      </c>
      <c r="B8" s="53" t="s">
        <v>208</v>
      </c>
      <c r="C8" s="53" t="s">
        <v>231</v>
      </c>
      <c r="D8" s="54" t="s">
        <v>232</v>
      </c>
      <c r="E8" s="54" t="s">
        <v>215</v>
      </c>
      <c r="F8" s="54" t="s">
        <v>217</v>
      </c>
      <c r="G8" s="54" t="s">
        <v>216</v>
      </c>
      <c r="H8" s="54" t="s">
        <v>218</v>
      </c>
      <c r="I8" s="54" t="s">
        <v>219</v>
      </c>
      <c r="J8" s="54" t="s">
        <v>233</v>
      </c>
      <c r="K8" s="54" t="s">
        <v>222</v>
      </c>
      <c r="L8" s="54" t="s">
        <v>234</v>
      </c>
      <c r="M8" s="44" t="s">
        <v>281</v>
      </c>
      <c r="N8" s="44" t="s">
        <v>267</v>
      </c>
      <c r="O8" s="44" t="s">
        <v>268</v>
      </c>
      <c r="P8" s="44" t="s">
        <v>269</v>
      </c>
      <c r="Q8" s="44" t="s">
        <v>270</v>
      </c>
    </row>
    <row r="9" spans="1:17" ht="25.5">
      <c r="A9" s="45" t="s">
        <v>272</v>
      </c>
      <c r="B9" s="65">
        <f t="shared" ref="B9:B18" ca="1" si="0">NOW()</f>
        <v>44375.596666550926</v>
      </c>
      <c r="C9" s="45">
        <v>1</v>
      </c>
      <c r="D9" s="45" t="s">
        <v>244</v>
      </c>
      <c r="E9" s="45" t="s">
        <v>274</v>
      </c>
      <c r="F9" s="45">
        <v>3</v>
      </c>
      <c r="G9" s="46" t="s">
        <v>238</v>
      </c>
      <c r="H9" s="48">
        <v>20000</v>
      </c>
      <c r="I9" s="48">
        <v>60000</v>
      </c>
      <c r="J9" s="48">
        <v>104800</v>
      </c>
      <c r="K9" s="49">
        <v>19912</v>
      </c>
      <c r="L9" s="49">
        <v>124712</v>
      </c>
      <c r="M9" s="58">
        <v>1016943117</v>
      </c>
      <c r="N9" s="50" t="s">
        <v>263</v>
      </c>
      <c r="O9" s="56" t="s">
        <v>264</v>
      </c>
      <c r="P9" s="56" t="s">
        <v>265</v>
      </c>
      <c r="Q9" s="56" t="s">
        <v>266</v>
      </c>
    </row>
    <row r="10" spans="1:17">
      <c r="A10" s="45" t="s">
        <v>272</v>
      </c>
      <c r="B10" s="65">
        <f t="shared" ca="1" si="0"/>
        <v>44375.596666550926</v>
      </c>
      <c r="C10" s="45">
        <v>2</v>
      </c>
      <c r="D10" s="45" t="s">
        <v>245</v>
      </c>
      <c r="E10" s="45" t="s">
        <v>9</v>
      </c>
      <c r="F10" s="45">
        <v>1</v>
      </c>
      <c r="G10" s="46" t="s">
        <v>254</v>
      </c>
      <c r="H10" s="48">
        <v>9000</v>
      </c>
      <c r="I10" s="48">
        <v>9000</v>
      </c>
      <c r="J10" s="48">
        <v>104800</v>
      </c>
      <c r="K10" s="49">
        <v>19912</v>
      </c>
      <c r="L10" s="49">
        <v>124712</v>
      </c>
      <c r="M10" s="58">
        <v>1016943117</v>
      </c>
      <c r="N10" s="50" t="s">
        <v>263</v>
      </c>
      <c r="O10" s="56" t="s">
        <v>264</v>
      </c>
      <c r="P10" s="56" t="s">
        <v>265</v>
      </c>
      <c r="Q10" s="56" t="s">
        <v>266</v>
      </c>
    </row>
    <row r="11" spans="1:17">
      <c r="A11" s="45" t="s">
        <v>272</v>
      </c>
      <c r="B11" s="65">
        <f t="shared" ca="1" si="0"/>
        <v>44375.596666550926</v>
      </c>
      <c r="C11" s="45">
        <v>3</v>
      </c>
      <c r="D11" s="45" t="s">
        <v>246</v>
      </c>
      <c r="E11" s="45" t="s">
        <v>10</v>
      </c>
      <c r="F11" s="45">
        <v>1</v>
      </c>
      <c r="G11" s="46" t="s">
        <v>255</v>
      </c>
      <c r="H11" s="48">
        <v>1700</v>
      </c>
      <c r="I11" s="48">
        <v>1700</v>
      </c>
      <c r="J11" s="48">
        <v>104800</v>
      </c>
      <c r="K11" s="49">
        <v>19912</v>
      </c>
      <c r="L11" s="49">
        <v>124712</v>
      </c>
      <c r="M11" s="58">
        <v>1016943117</v>
      </c>
      <c r="N11" s="50" t="s">
        <v>263</v>
      </c>
      <c r="O11" s="56" t="s">
        <v>264</v>
      </c>
      <c r="P11" s="56" t="s">
        <v>265</v>
      </c>
      <c r="Q11" s="56" t="s">
        <v>266</v>
      </c>
    </row>
    <row r="12" spans="1:17">
      <c r="A12" s="45" t="s">
        <v>272</v>
      </c>
      <c r="B12" s="65">
        <f t="shared" ca="1" si="0"/>
        <v>44375.596666550926</v>
      </c>
      <c r="C12" s="45">
        <v>4</v>
      </c>
      <c r="D12" s="45" t="s">
        <v>247</v>
      </c>
      <c r="E12" s="45" t="s">
        <v>11</v>
      </c>
      <c r="F12" s="45">
        <v>1</v>
      </c>
      <c r="G12" s="46" t="s">
        <v>256</v>
      </c>
      <c r="H12" s="48">
        <v>2000</v>
      </c>
      <c r="I12" s="48">
        <v>2000</v>
      </c>
      <c r="J12" s="48">
        <v>104800</v>
      </c>
      <c r="K12" s="49">
        <v>19912</v>
      </c>
      <c r="L12" s="49">
        <v>124712</v>
      </c>
      <c r="M12" s="58">
        <v>1016943117</v>
      </c>
      <c r="N12" s="50" t="s">
        <v>263</v>
      </c>
      <c r="O12" s="56" t="s">
        <v>264</v>
      </c>
      <c r="P12" s="56" t="s">
        <v>265</v>
      </c>
      <c r="Q12" s="56" t="s">
        <v>266</v>
      </c>
    </row>
    <row r="13" spans="1:17" ht="29.25" customHeight="1">
      <c r="A13" s="45" t="s">
        <v>272</v>
      </c>
      <c r="B13" s="65">
        <f t="shared" ca="1" si="0"/>
        <v>44375.596666550926</v>
      </c>
      <c r="C13" s="45">
        <v>5</v>
      </c>
      <c r="D13" s="45" t="s">
        <v>248</v>
      </c>
      <c r="E13" s="45" t="s">
        <v>276</v>
      </c>
      <c r="F13" s="45">
        <v>1</v>
      </c>
      <c r="G13" s="46" t="s">
        <v>257</v>
      </c>
      <c r="H13" s="48">
        <v>8500</v>
      </c>
      <c r="I13" s="48">
        <v>8500</v>
      </c>
      <c r="J13" s="48">
        <v>104800</v>
      </c>
      <c r="K13" s="49">
        <v>19912</v>
      </c>
      <c r="L13" s="49">
        <v>124712</v>
      </c>
      <c r="M13" s="58">
        <v>1016943117</v>
      </c>
      <c r="N13" s="50" t="s">
        <v>263</v>
      </c>
      <c r="O13" s="56" t="s">
        <v>264</v>
      </c>
      <c r="P13" s="56" t="s">
        <v>265</v>
      </c>
      <c r="Q13" s="56" t="s">
        <v>266</v>
      </c>
    </row>
    <row r="14" spans="1:17">
      <c r="A14" s="45" t="s">
        <v>272</v>
      </c>
      <c r="B14" s="65">
        <f t="shared" ca="1" si="0"/>
        <v>44375.596666550926</v>
      </c>
      <c r="C14" s="45">
        <v>6</v>
      </c>
      <c r="D14" s="45" t="s">
        <v>249</v>
      </c>
      <c r="E14" s="45" t="s">
        <v>13</v>
      </c>
      <c r="F14" s="45">
        <v>1</v>
      </c>
      <c r="G14" s="46" t="s">
        <v>262</v>
      </c>
      <c r="H14" s="48">
        <v>1100</v>
      </c>
      <c r="I14" s="48">
        <v>1100</v>
      </c>
      <c r="J14" s="48">
        <v>104800</v>
      </c>
      <c r="K14" s="49">
        <v>19912</v>
      </c>
      <c r="L14" s="49">
        <v>124712</v>
      </c>
      <c r="M14" s="58">
        <v>1016943117</v>
      </c>
      <c r="N14" s="50" t="s">
        <v>263</v>
      </c>
      <c r="O14" s="56" t="s">
        <v>264</v>
      </c>
      <c r="P14" s="56" t="s">
        <v>265</v>
      </c>
      <c r="Q14" s="56" t="s">
        <v>266</v>
      </c>
    </row>
    <row r="15" spans="1:17">
      <c r="A15" s="45" t="s">
        <v>272</v>
      </c>
      <c r="B15" s="65">
        <f t="shared" ca="1" si="0"/>
        <v>44375.596666550926</v>
      </c>
      <c r="C15" s="45">
        <v>7</v>
      </c>
      <c r="D15" s="45" t="s">
        <v>250</v>
      </c>
      <c r="E15" s="45" t="s">
        <v>14</v>
      </c>
      <c r="F15" s="45">
        <v>1</v>
      </c>
      <c r="G15" s="46" t="s">
        <v>258</v>
      </c>
      <c r="H15" s="48">
        <v>1100</v>
      </c>
      <c r="I15" s="48">
        <v>1100</v>
      </c>
      <c r="J15" s="48">
        <v>104800</v>
      </c>
      <c r="K15" s="49">
        <v>19912</v>
      </c>
      <c r="L15" s="49">
        <v>124712</v>
      </c>
      <c r="M15" s="58">
        <v>1016943117</v>
      </c>
      <c r="N15" s="50" t="s">
        <v>263</v>
      </c>
      <c r="O15" s="56" t="s">
        <v>264</v>
      </c>
      <c r="P15" s="56" t="s">
        <v>265</v>
      </c>
      <c r="Q15" s="56" t="s">
        <v>266</v>
      </c>
    </row>
    <row r="16" spans="1:17">
      <c r="A16" s="45" t="s">
        <v>272</v>
      </c>
      <c r="B16" s="65">
        <f t="shared" ca="1" si="0"/>
        <v>44375.596666550926</v>
      </c>
      <c r="C16" s="45">
        <v>8</v>
      </c>
      <c r="D16" s="45" t="s">
        <v>251</v>
      </c>
      <c r="E16" s="45" t="s">
        <v>15</v>
      </c>
      <c r="F16" s="45">
        <v>1</v>
      </c>
      <c r="G16" s="46" t="s">
        <v>259</v>
      </c>
      <c r="H16" s="48">
        <v>1600</v>
      </c>
      <c r="I16" s="48">
        <v>1600</v>
      </c>
      <c r="J16" s="48">
        <v>104800</v>
      </c>
      <c r="K16" s="49">
        <v>19912</v>
      </c>
      <c r="L16" s="49">
        <v>124712</v>
      </c>
      <c r="M16" s="58">
        <v>1016943117</v>
      </c>
      <c r="N16" s="50" t="s">
        <v>263</v>
      </c>
      <c r="O16" s="56" t="s">
        <v>264</v>
      </c>
      <c r="P16" s="56" t="s">
        <v>265</v>
      </c>
      <c r="Q16" s="56" t="s">
        <v>266</v>
      </c>
    </row>
    <row r="17" spans="1:17">
      <c r="A17" s="45" t="s">
        <v>272</v>
      </c>
      <c r="B17" s="65">
        <f t="shared" ca="1" si="0"/>
        <v>44375.596666550926</v>
      </c>
      <c r="C17" s="45">
        <v>9</v>
      </c>
      <c r="D17" s="45" t="s">
        <v>252</v>
      </c>
      <c r="E17" s="45" t="s">
        <v>16</v>
      </c>
      <c r="F17" s="45">
        <v>1</v>
      </c>
      <c r="G17" s="46" t="s">
        <v>289</v>
      </c>
      <c r="H17" s="48">
        <v>5900</v>
      </c>
      <c r="I17" s="48">
        <v>5900</v>
      </c>
      <c r="J17" s="48">
        <v>104800</v>
      </c>
      <c r="K17" s="49">
        <v>19912</v>
      </c>
      <c r="L17" s="49">
        <v>124712</v>
      </c>
      <c r="M17" s="58">
        <v>1016943117</v>
      </c>
      <c r="N17" s="50" t="s">
        <v>263</v>
      </c>
      <c r="O17" s="56" t="s">
        <v>264</v>
      </c>
      <c r="P17" s="56" t="s">
        <v>265</v>
      </c>
      <c r="Q17" s="56" t="s">
        <v>266</v>
      </c>
    </row>
    <row r="18" spans="1:17">
      <c r="A18" s="45" t="s">
        <v>272</v>
      </c>
      <c r="B18" s="65">
        <f t="shared" ca="1" si="0"/>
        <v>44375.596666550926</v>
      </c>
      <c r="C18" s="45">
        <v>10</v>
      </c>
      <c r="D18" s="45" t="s">
        <v>253</v>
      </c>
      <c r="E18" s="45" t="s">
        <v>17</v>
      </c>
      <c r="F18" s="45">
        <v>1</v>
      </c>
      <c r="G18" s="46" t="s">
        <v>260</v>
      </c>
      <c r="H18" s="48">
        <v>13909</v>
      </c>
      <c r="I18" s="48">
        <v>13909</v>
      </c>
      <c r="J18" s="48">
        <v>104800</v>
      </c>
      <c r="K18" s="49">
        <v>19912</v>
      </c>
      <c r="L18" s="49">
        <v>124712</v>
      </c>
      <c r="M18" s="58">
        <v>1016943117</v>
      </c>
      <c r="N18" s="50" t="s">
        <v>263</v>
      </c>
      <c r="O18" s="56" t="s">
        <v>264</v>
      </c>
      <c r="P18" s="56" t="s">
        <v>265</v>
      </c>
      <c r="Q18" s="56" t="s">
        <v>266</v>
      </c>
    </row>
    <row r="19" spans="1:17">
      <c r="A19" s="57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</row>
    <row r="20" spans="1:17">
      <c r="A20" s="124" t="s">
        <v>283</v>
      </c>
      <c r="B20" s="124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</row>
    <row r="21" spans="1:17">
      <c r="A21" s="51" t="s">
        <v>227</v>
      </c>
      <c r="B21" s="51" t="s">
        <v>271</v>
      </c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</row>
    <row r="22" spans="1:17">
      <c r="A22" s="59">
        <v>1010051342</v>
      </c>
      <c r="B22" s="52" t="s">
        <v>272</v>
      </c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</row>
    <row r="23" spans="1:17">
      <c r="A23" s="57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</row>
    <row r="24" spans="1:17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</row>
    <row r="25" spans="1:17">
      <c r="A25" s="57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</row>
    <row r="26" spans="1:17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</row>
    <row r="27" spans="1:17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</row>
    <row r="28" spans="1:17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</row>
  </sheetData>
  <mergeCells count="4">
    <mergeCell ref="A3:H3"/>
    <mergeCell ref="A20:B20"/>
    <mergeCell ref="A7:L7"/>
    <mergeCell ref="M7:Q7"/>
  </mergeCells>
  <hyperlinks>
    <hyperlink ref="H5" r:id="rId1" xr:uid="{00000000-0004-0000-0900-000000000000}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7B26D-15A4-4054-BCE5-017645E77A49}">
  <dimension ref="A2:N31"/>
  <sheetViews>
    <sheetView workbookViewId="0">
      <selection activeCell="I16" sqref="I16:J25"/>
    </sheetView>
  </sheetViews>
  <sheetFormatPr baseColWidth="10" defaultRowHeight="15"/>
  <cols>
    <col min="1" max="1" width="20.140625" customWidth="1"/>
    <col min="2" max="2" width="16.85546875" customWidth="1"/>
    <col min="5" max="5" width="25.5703125" customWidth="1"/>
    <col min="6" max="6" width="26.140625" customWidth="1"/>
    <col min="7" max="7" width="17.42578125" customWidth="1"/>
    <col min="8" max="8" width="32.7109375" customWidth="1"/>
    <col min="9" max="9" width="16.7109375" customWidth="1"/>
    <col min="10" max="10" width="16.5703125" customWidth="1"/>
  </cols>
  <sheetData>
    <row r="2" spans="1:14">
      <c r="A2" s="135" t="s">
        <v>209</v>
      </c>
      <c r="B2" s="135"/>
      <c r="C2" s="135"/>
      <c r="D2" s="135"/>
      <c r="E2" s="135"/>
      <c r="F2" s="135"/>
      <c r="G2" s="135"/>
      <c r="H2" s="135"/>
      <c r="J2" s="125" t="s">
        <v>224</v>
      </c>
      <c r="K2" s="126"/>
      <c r="L2" s="126"/>
      <c r="M2" s="126"/>
      <c r="N2" s="126"/>
    </row>
    <row r="3" spans="1:14" ht="25.5">
      <c r="A3" s="53" t="s">
        <v>227</v>
      </c>
      <c r="B3" s="53" t="s">
        <v>267</v>
      </c>
      <c r="C3" s="53" t="s">
        <v>268</v>
      </c>
      <c r="D3" s="53" t="s">
        <v>269</v>
      </c>
      <c r="E3" s="53" t="s">
        <v>270</v>
      </c>
      <c r="F3" s="53" t="s">
        <v>228</v>
      </c>
      <c r="G3" s="53" t="s">
        <v>229</v>
      </c>
      <c r="H3" s="53" t="s">
        <v>230</v>
      </c>
      <c r="J3" s="44" t="s">
        <v>281</v>
      </c>
      <c r="K3" s="44" t="s">
        <v>267</v>
      </c>
      <c r="L3" s="44" t="s">
        <v>268</v>
      </c>
      <c r="M3" s="44" t="s">
        <v>269</v>
      </c>
      <c r="N3" s="44" t="s">
        <v>270</v>
      </c>
    </row>
    <row r="4" spans="1:14">
      <c r="A4" s="61">
        <v>1010051342</v>
      </c>
      <c r="B4" s="62" t="s">
        <v>240</v>
      </c>
      <c r="C4" s="62" t="s">
        <v>241</v>
      </c>
      <c r="D4" s="62" t="s">
        <v>242</v>
      </c>
      <c r="E4" s="62" t="s">
        <v>243</v>
      </c>
      <c r="F4" s="63" t="s">
        <v>116</v>
      </c>
      <c r="G4" s="63">
        <v>3118271726</v>
      </c>
      <c r="H4" s="64" t="s">
        <v>117</v>
      </c>
      <c r="J4" s="58">
        <v>1016943117</v>
      </c>
      <c r="K4" s="50" t="s">
        <v>263</v>
      </c>
      <c r="L4" s="56" t="s">
        <v>264</v>
      </c>
      <c r="M4" s="56" t="s">
        <v>265</v>
      </c>
      <c r="N4" s="56" t="s">
        <v>266</v>
      </c>
    </row>
    <row r="6" spans="1:14">
      <c r="A6" s="126" t="s">
        <v>273</v>
      </c>
      <c r="B6" s="126"/>
      <c r="C6" s="126"/>
      <c r="D6" s="126"/>
      <c r="E6" s="126"/>
      <c r="I6" s="124" t="s">
        <v>283</v>
      </c>
      <c r="J6" s="124"/>
    </row>
    <row r="7" spans="1:14">
      <c r="A7" s="43" t="s">
        <v>271</v>
      </c>
      <c r="B7" s="43" t="s">
        <v>208</v>
      </c>
      <c r="C7" s="44" t="s">
        <v>233</v>
      </c>
      <c r="D7" s="44" t="s">
        <v>222</v>
      </c>
      <c r="E7" s="44" t="s">
        <v>234</v>
      </c>
      <c r="I7" s="51" t="s">
        <v>227</v>
      </c>
      <c r="J7" s="51" t="s">
        <v>271</v>
      </c>
    </row>
    <row r="8" spans="1:14">
      <c r="A8" s="136" t="s">
        <v>272</v>
      </c>
      <c r="B8" s="65">
        <f t="shared" ref="B8:B17" ca="1" si="0">NOW()</f>
        <v>44375.596666550926</v>
      </c>
      <c r="C8" s="48">
        <v>104800</v>
      </c>
      <c r="D8" s="49">
        <v>19912</v>
      </c>
      <c r="E8" s="49">
        <v>124712</v>
      </c>
      <c r="I8" s="59">
        <v>1010051342</v>
      </c>
      <c r="J8" s="52" t="s">
        <v>272</v>
      </c>
    </row>
    <row r="9" spans="1:14">
      <c r="A9" s="136"/>
      <c r="B9" s="65">
        <f t="shared" ca="1" si="0"/>
        <v>44375.596666550926</v>
      </c>
      <c r="C9" s="48">
        <v>104800</v>
      </c>
      <c r="D9" s="49">
        <v>19912</v>
      </c>
      <c r="E9" s="49">
        <v>124712</v>
      </c>
    </row>
    <row r="10" spans="1:14">
      <c r="A10" s="136"/>
      <c r="B10" s="65">
        <f t="shared" ca="1" si="0"/>
        <v>44375.596666550926</v>
      </c>
      <c r="C10" s="48">
        <v>104800</v>
      </c>
      <c r="D10" s="49">
        <v>19912</v>
      </c>
      <c r="E10" s="49">
        <v>124712</v>
      </c>
      <c r="I10" s="128" t="s">
        <v>284</v>
      </c>
      <c r="J10" s="129"/>
    </row>
    <row r="11" spans="1:14">
      <c r="A11" s="136"/>
      <c r="B11" s="65">
        <f t="shared" ca="1" si="0"/>
        <v>44375.596666550926</v>
      </c>
      <c r="C11" s="48">
        <v>104800</v>
      </c>
      <c r="D11" s="49">
        <v>19912</v>
      </c>
      <c r="E11" s="49">
        <v>124712</v>
      </c>
      <c r="I11" s="44" t="s">
        <v>288</v>
      </c>
      <c r="J11" s="43" t="s">
        <v>271</v>
      </c>
    </row>
    <row r="12" spans="1:14">
      <c r="A12" s="136"/>
      <c r="B12" s="65">
        <f t="shared" ca="1" si="0"/>
        <v>44375.596666550926</v>
      </c>
      <c r="C12" s="48">
        <v>104800</v>
      </c>
      <c r="D12" s="49">
        <v>19912</v>
      </c>
      <c r="E12" s="49">
        <v>124712</v>
      </c>
      <c r="I12" s="58">
        <v>1016943117</v>
      </c>
      <c r="J12" s="45" t="s">
        <v>272</v>
      </c>
    </row>
    <row r="13" spans="1:14">
      <c r="A13" s="136"/>
      <c r="B13" s="65">
        <f t="shared" ca="1" si="0"/>
        <v>44375.596666550926</v>
      </c>
      <c r="C13" s="48">
        <v>104800</v>
      </c>
      <c r="D13" s="49">
        <v>19912</v>
      </c>
      <c r="E13" s="49">
        <v>124712</v>
      </c>
    </row>
    <row r="14" spans="1:14">
      <c r="A14" s="136"/>
      <c r="B14" s="65">
        <f t="shared" ca="1" si="0"/>
        <v>44375.596666550926</v>
      </c>
      <c r="C14" s="48">
        <v>104800</v>
      </c>
      <c r="D14" s="49">
        <v>19912</v>
      </c>
      <c r="E14" s="49">
        <v>124712</v>
      </c>
      <c r="I14" s="130" t="s">
        <v>285</v>
      </c>
      <c r="J14" s="131"/>
    </row>
    <row r="15" spans="1:14">
      <c r="A15" s="136"/>
      <c r="B15" s="65">
        <f t="shared" ca="1" si="0"/>
        <v>44375.596666550926</v>
      </c>
      <c r="C15" s="48">
        <v>104800</v>
      </c>
      <c r="D15" s="49">
        <v>19912</v>
      </c>
      <c r="E15" s="49">
        <v>124712</v>
      </c>
      <c r="I15" s="60" t="s">
        <v>287</v>
      </c>
      <c r="J15" s="55" t="s">
        <v>286</v>
      </c>
    </row>
    <row r="16" spans="1:14">
      <c r="A16" s="136"/>
      <c r="B16" s="65">
        <f t="shared" ca="1" si="0"/>
        <v>44375.596666550926</v>
      </c>
      <c r="C16" s="48">
        <v>104800</v>
      </c>
      <c r="D16" s="49">
        <v>19912</v>
      </c>
      <c r="E16" s="49">
        <v>124712</v>
      </c>
      <c r="I16" s="45" t="s">
        <v>244</v>
      </c>
      <c r="J16" s="132" t="s">
        <v>272</v>
      </c>
    </row>
    <row r="17" spans="1:10">
      <c r="A17" s="136"/>
      <c r="B17" s="65">
        <f t="shared" ca="1" si="0"/>
        <v>44375.596666550926</v>
      </c>
      <c r="C17" s="48">
        <v>104800</v>
      </c>
      <c r="D17" s="49">
        <v>19912</v>
      </c>
      <c r="E17" s="49">
        <v>124712</v>
      </c>
      <c r="I17" s="45" t="s">
        <v>245</v>
      </c>
      <c r="J17" s="133"/>
    </row>
    <row r="18" spans="1:10">
      <c r="I18" s="45" t="s">
        <v>246</v>
      </c>
      <c r="J18" s="133"/>
    </row>
    <row r="19" spans="1:10">
      <c r="I19" s="45" t="s">
        <v>247</v>
      </c>
      <c r="J19" s="133"/>
    </row>
    <row r="20" spans="1:10">
      <c r="A20" s="127" t="s">
        <v>215</v>
      </c>
      <c r="B20" s="127"/>
      <c r="C20" s="127"/>
      <c r="D20" s="127"/>
      <c r="E20" s="127"/>
      <c r="F20" s="127"/>
      <c r="G20" s="127"/>
      <c r="I20" s="45" t="s">
        <v>248</v>
      </c>
      <c r="J20" s="133"/>
    </row>
    <row r="21" spans="1:10">
      <c r="A21" s="53" t="s">
        <v>231</v>
      </c>
      <c r="B21" s="54" t="s">
        <v>232</v>
      </c>
      <c r="C21" s="54" t="s">
        <v>215</v>
      </c>
      <c r="D21" s="54" t="s">
        <v>217</v>
      </c>
      <c r="E21" s="54" t="s">
        <v>216</v>
      </c>
      <c r="F21" s="54" t="s">
        <v>218</v>
      </c>
      <c r="G21" s="54" t="s">
        <v>219</v>
      </c>
      <c r="I21" s="45" t="s">
        <v>249</v>
      </c>
      <c r="J21" s="133"/>
    </row>
    <row r="22" spans="1:10">
      <c r="A22" s="45">
        <v>1</v>
      </c>
      <c r="B22" s="45" t="s">
        <v>244</v>
      </c>
      <c r="C22" s="45" t="s">
        <v>274</v>
      </c>
      <c r="D22" s="45">
        <v>3</v>
      </c>
      <c r="E22" s="46" t="s">
        <v>238</v>
      </c>
      <c r="F22" s="48">
        <v>20000</v>
      </c>
      <c r="G22" s="48">
        <v>60000</v>
      </c>
      <c r="I22" s="45" t="s">
        <v>250</v>
      </c>
      <c r="J22" s="133"/>
    </row>
    <row r="23" spans="1:10">
      <c r="A23" s="45">
        <v>2</v>
      </c>
      <c r="B23" s="45" t="s">
        <v>245</v>
      </c>
      <c r="C23" s="45" t="s">
        <v>9</v>
      </c>
      <c r="D23" s="45">
        <v>1</v>
      </c>
      <c r="E23" s="46" t="s">
        <v>254</v>
      </c>
      <c r="F23" s="48">
        <v>9000</v>
      </c>
      <c r="G23" s="48">
        <v>9000</v>
      </c>
      <c r="I23" s="45" t="s">
        <v>251</v>
      </c>
      <c r="J23" s="133"/>
    </row>
    <row r="24" spans="1:10">
      <c r="A24" s="45">
        <v>3</v>
      </c>
      <c r="B24" s="45" t="s">
        <v>246</v>
      </c>
      <c r="C24" s="45" t="s">
        <v>10</v>
      </c>
      <c r="D24" s="45">
        <v>1</v>
      </c>
      <c r="E24" s="46" t="s">
        <v>255</v>
      </c>
      <c r="F24" s="48">
        <v>1700</v>
      </c>
      <c r="G24" s="48">
        <v>1700</v>
      </c>
      <c r="I24" s="45" t="s">
        <v>252</v>
      </c>
      <c r="J24" s="133"/>
    </row>
    <row r="25" spans="1:10">
      <c r="A25" s="45">
        <v>4</v>
      </c>
      <c r="B25" s="45" t="s">
        <v>247</v>
      </c>
      <c r="C25" s="45" t="s">
        <v>11</v>
      </c>
      <c r="D25" s="45">
        <v>1</v>
      </c>
      <c r="E25" s="46" t="s">
        <v>256</v>
      </c>
      <c r="F25" s="48">
        <v>2000</v>
      </c>
      <c r="G25" s="48">
        <v>2000</v>
      </c>
      <c r="I25" s="45" t="s">
        <v>253</v>
      </c>
      <c r="J25" s="134"/>
    </row>
    <row r="26" spans="1:10" ht="25.5">
      <c r="A26" s="45">
        <v>5</v>
      </c>
      <c r="B26" s="45" t="s">
        <v>248</v>
      </c>
      <c r="C26" s="45" t="s">
        <v>276</v>
      </c>
      <c r="D26" s="45">
        <v>1</v>
      </c>
      <c r="E26" s="46" t="s">
        <v>257</v>
      </c>
      <c r="F26" s="48">
        <v>8500</v>
      </c>
      <c r="G26" s="48">
        <v>8500</v>
      </c>
    </row>
    <row r="27" spans="1:10">
      <c r="A27" s="45">
        <v>6</v>
      </c>
      <c r="B27" s="45" t="s">
        <v>249</v>
      </c>
      <c r="C27" s="45" t="s">
        <v>13</v>
      </c>
      <c r="D27" s="45">
        <v>1</v>
      </c>
      <c r="E27" s="46" t="s">
        <v>262</v>
      </c>
      <c r="F27" s="48">
        <v>1100</v>
      </c>
      <c r="G27" s="48">
        <v>1100</v>
      </c>
    </row>
    <row r="28" spans="1:10">
      <c r="A28" s="45">
        <v>7</v>
      </c>
      <c r="B28" s="45" t="s">
        <v>250</v>
      </c>
      <c r="C28" s="45" t="s">
        <v>14</v>
      </c>
      <c r="D28" s="45">
        <v>1</v>
      </c>
      <c r="E28" s="46" t="s">
        <v>258</v>
      </c>
      <c r="F28" s="48">
        <v>1100</v>
      </c>
      <c r="G28" s="48">
        <v>1100</v>
      </c>
    </row>
    <row r="29" spans="1:10">
      <c r="A29" s="45">
        <v>8</v>
      </c>
      <c r="B29" s="45" t="s">
        <v>251</v>
      </c>
      <c r="C29" s="45" t="s">
        <v>15</v>
      </c>
      <c r="D29" s="45">
        <v>1</v>
      </c>
      <c r="E29" s="46" t="s">
        <v>259</v>
      </c>
      <c r="F29" s="48">
        <v>1600</v>
      </c>
      <c r="G29" s="48">
        <v>1600</v>
      </c>
    </row>
    <row r="30" spans="1:10">
      <c r="A30" s="45">
        <v>9</v>
      </c>
      <c r="B30" s="45" t="s">
        <v>252</v>
      </c>
      <c r="C30" s="45" t="s">
        <v>16</v>
      </c>
      <c r="D30" s="45">
        <v>1</v>
      </c>
      <c r="E30" s="46" t="s">
        <v>289</v>
      </c>
      <c r="F30" s="48">
        <v>5900</v>
      </c>
      <c r="G30" s="48">
        <v>5900</v>
      </c>
    </row>
    <row r="31" spans="1:10">
      <c r="A31" s="45">
        <v>10</v>
      </c>
      <c r="B31" s="45" t="s">
        <v>253</v>
      </c>
      <c r="C31" s="45" t="s">
        <v>17</v>
      </c>
      <c r="D31" s="45">
        <v>1</v>
      </c>
      <c r="E31" s="46" t="s">
        <v>260</v>
      </c>
      <c r="F31" s="48">
        <v>13909</v>
      </c>
      <c r="G31" s="48">
        <v>13909</v>
      </c>
    </row>
  </sheetData>
  <mergeCells count="9">
    <mergeCell ref="A2:H2"/>
    <mergeCell ref="A6:E6"/>
    <mergeCell ref="A8:A17"/>
    <mergeCell ref="J2:N2"/>
    <mergeCell ref="A20:G20"/>
    <mergeCell ref="I6:J6"/>
    <mergeCell ref="I10:J10"/>
    <mergeCell ref="I14:J14"/>
    <mergeCell ref="J16:J25"/>
  </mergeCells>
  <hyperlinks>
    <hyperlink ref="H4" r:id="rId1" xr:uid="{F105393D-8736-42B5-8453-BC7C92626B76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85ACC-5985-4578-ADEE-211D723BAB74}">
  <dimension ref="A1:K31"/>
  <sheetViews>
    <sheetView workbookViewId="0">
      <selection activeCell="K31" sqref="K31"/>
    </sheetView>
  </sheetViews>
  <sheetFormatPr baseColWidth="10" defaultRowHeight="15"/>
  <cols>
    <col min="5" max="5" width="14.140625" customWidth="1"/>
    <col min="6" max="6" width="13.85546875" customWidth="1"/>
  </cols>
  <sheetData>
    <row r="1" spans="3:8">
      <c r="D1" s="89">
        <v>1</v>
      </c>
      <c r="G1" s="90">
        <v>1</v>
      </c>
    </row>
    <row r="2" spans="3:8">
      <c r="D2" s="84">
        <v>1</v>
      </c>
      <c r="G2">
        <v>1</v>
      </c>
    </row>
    <row r="3" spans="3:8">
      <c r="D3" s="84">
        <v>1</v>
      </c>
      <c r="G3">
        <v>1</v>
      </c>
    </row>
    <row r="4" spans="3:8">
      <c r="C4" s="87" t="s">
        <v>209</v>
      </c>
      <c r="H4" s="87" t="s">
        <v>224</v>
      </c>
    </row>
    <row r="5" spans="3:8">
      <c r="E5" s="91" t="s">
        <v>291</v>
      </c>
      <c r="F5" s="89" t="s">
        <v>291</v>
      </c>
    </row>
    <row r="6" spans="3:8">
      <c r="E6" s="88">
        <v>1</v>
      </c>
      <c r="F6" s="84">
        <v>1</v>
      </c>
    </row>
    <row r="7" spans="3:8">
      <c r="E7" s="88" t="s">
        <v>291</v>
      </c>
      <c r="F7" s="84" t="s">
        <v>291</v>
      </c>
    </row>
    <row r="8" spans="3:8">
      <c r="D8" s="84">
        <v>1</v>
      </c>
      <c r="E8" s="137" t="s">
        <v>273</v>
      </c>
      <c r="F8" s="137"/>
    </row>
    <row r="9" spans="3:8">
      <c r="D9" s="84" t="s">
        <v>291</v>
      </c>
      <c r="F9" s="92">
        <v>1</v>
      </c>
    </row>
    <row r="10" spans="3:8">
      <c r="D10" s="90" t="s">
        <v>291</v>
      </c>
      <c r="F10" s="84"/>
    </row>
    <row r="11" spans="3:8">
      <c r="F11" s="84"/>
    </row>
    <row r="12" spans="3:8">
      <c r="F12" s="84"/>
    </row>
    <row r="13" spans="3:8">
      <c r="F13" s="84"/>
    </row>
    <row r="14" spans="3:8">
      <c r="F14" s="92" t="s">
        <v>291</v>
      </c>
    </row>
    <row r="15" spans="3:8">
      <c r="E15" s="138" t="s">
        <v>285</v>
      </c>
      <c r="F15" s="139"/>
    </row>
    <row r="16" spans="3:8">
      <c r="E16" s="93" t="s">
        <v>291</v>
      </c>
    </row>
    <row r="17" spans="1:11">
      <c r="E17" s="88"/>
    </row>
    <row r="18" spans="1:11">
      <c r="E18" s="88"/>
    </row>
    <row r="19" spans="1:11">
      <c r="E19" s="88"/>
    </row>
    <row r="20" spans="1:11">
      <c r="E20" s="88"/>
      <c r="G20" s="89" t="s">
        <v>291</v>
      </c>
    </row>
    <row r="21" spans="1:11">
      <c r="E21" s="93">
        <v>1</v>
      </c>
      <c r="G21" s="84">
        <v>1</v>
      </c>
    </row>
    <row r="22" spans="1:11">
      <c r="E22" s="140" t="s">
        <v>215</v>
      </c>
      <c r="F22" s="140"/>
      <c r="G22" s="84" t="s">
        <v>291</v>
      </c>
    </row>
    <row r="25" spans="1:11">
      <c r="A25" s="94"/>
    </row>
    <row r="26" spans="1:11">
      <c r="A26" s="95" t="s">
        <v>292</v>
      </c>
      <c r="B26" s="146" t="s">
        <v>209</v>
      </c>
      <c r="C26" s="144"/>
      <c r="D26" s="145"/>
      <c r="E26" s="144" t="s">
        <v>224</v>
      </c>
      <c r="F26" s="145"/>
      <c r="G26" s="99"/>
    </row>
    <row r="27" spans="1:11">
      <c r="A27" s="96" t="s">
        <v>293</v>
      </c>
      <c r="B27" s="97" t="s">
        <v>273</v>
      </c>
      <c r="C27" s="98" t="s">
        <v>215</v>
      </c>
      <c r="D27" s="141" t="s">
        <v>303</v>
      </c>
      <c r="E27" s="142"/>
      <c r="F27" s="143"/>
      <c r="G27" s="99"/>
      <c r="H27" s="1"/>
    </row>
    <row r="28" spans="1:11">
      <c r="A28" s="80"/>
    </row>
    <row r="31" spans="1:11">
      <c r="K31" s="101"/>
    </row>
  </sheetData>
  <mergeCells count="6">
    <mergeCell ref="E8:F8"/>
    <mergeCell ref="E15:F15"/>
    <mergeCell ref="E22:F22"/>
    <mergeCell ref="D27:F27"/>
    <mergeCell ref="E26:F26"/>
    <mergeCell ref="B26:D26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7BE29-CCBD-4076-9BEB-3382DE1870DF}">
  <dimension ref="A2:D28"/>
  <sheetViews>
    <sheetView topLeftCell="A4" workbookViewId="0">
      <selection activeCell="K18" sqref="K18"/>
    </sheetView>
  </sheetViews>
  <sheetFormatPr baseColWidth="10" defaultRowHeight="15"/>
  <cols>
    <col min="1" max="1" width="17.42578125" customWidth="1"/>
    <col min="2" max="2" width="17.7109375" customWidth="1"/>
  </cols>
  <sheetData>
    <row r="2" spans="1:4">
      <c r="A2" s="82" t="s">
        <v>296</v>
      </c>
      <c r="B2" s="84" t="s">
        <v>297</v>
      </c>
    </row>
    <row r="3" spans="1:4">
      <c r="A3" s="147" t="s">
        <v>283</v>
      </c>
      <c r="B3" s="148"/>
    </row>
    <row r="4" spans="1:4">
      <c r="A4" s="43" t="s">
        <v>290</v>
      </c>
      <c r="B4" s="43" t="s">
        <v>271</v>
      </c>
      <c r="C4" s="81" t="s">
        <v>294</v>
      </c>
      <c r="D4" s="81" t="s">
        <v>295</v>
      </c>
    </row>
    <row r="5" spans="1:4">
      <c r="A5" s="100">
        <v>1010051342</v>
      </c>
      <c r="B5" s="45" t="s">
        <v>272</v>
      </c>
      <c r="C5" s="81" t="s">
        <v>298</v>
      </c>
      <c r="D5" s="81" t="s">
        <v>298</v>
      </c>
    </row>
    <row r="6" spans="1:4">
      <c r="A6" s="100">
        <v>1010051342</v>
      </c>
      <c r="B6" s="45" t="s">
        <v>299</v>
      </c>
      <c r="C6" s="81" t="s">
        <v>298</v>
      </c>
      <c r="D6" s="81" t="s">
        <v>298</v>
      </c>
    </row>
    <row r="7" spans="1:4">
      <c r="A7" s="100">
        <v>1010051342</v>
      </c>
      <c r="B7" s="45" t="s">
        <v>300</v>
      </c>
      <c r="C7" s="81" t="s">
        <v>298</v>
      </c>
      <c r="D7" s="81" t="s">
        <v>298</v>
      </c>
    </row>
    <row r="9" spans="1:4">
      <c r="A9" s="82" t="s">
        <v>297</v>
      </c>
      <c r="B9" s="86" t="s">
        <v>296</v>
      </c>
    </row>
    <row r="10" spans="1:4">
      <c r="A10" s="128" t="s">
        <v>284</v>
      </c>
      <c r="B10" s="129"/>
    </row>
    <row r="11" spans="1:4">
      <c r="A11" s="44" t="s">
        <v>288</v>
      </c>
      <c r="B11" s="43" t="s">
        <v>271</v>
      </c>
      <c r="C11" s="81" t="s">
        <v>294</v>
      </c>
      <c r="D11" s="81" t="s">
        <v>295</v>
      </c>
    </row>
    <row r="12" spans="1:4">
      <c r="A12" s="58">
        <v>1016943117</v>
      </c>
      <c r="B12" s="83" t="s">
        <v>272</v>
      </c>
      <c r="C12" s="81" t="s">
        <v>298</v>
      </c>
      <c r="D12" s="81" t="s">
        <v>298</v>
      </c>
    </row>
    <row r="13" spans="1:4">
      <c r="A13" s="58">
        <v>1014176160</v>
      </c>
      <c r="B13" s="83" t="s">
        <v>299</v>
      </c>
      <c r="C13" s="81" t="s">
        <v>298</v>
      </c>
      <c r="D13" s="81" t="s">
        <v>298</v>
      </c>
    </row>
    <row r="14" spans="1:4">
      <c r="A14" s="58">
        <v>1016943117</v>
      </c>
      <c r="B14" s="83" t="s">
        <v>300</v>
      </c>
      <c r="C14" s="81" t="s">
        <v>298</v>
      </c>
      <c r="D14" s="81" t="s">
        <v>298</v>
      </c>
    </row>
    <row r="16" spans="1:4">
      <c r="A16" s="82" t="s">
        <v>297</v>
      </c>
      <c r="B16" s="85" t="s">
        <v>296</v>
      </c>
    </row>
    <row r="17" spans="1:4">
      <c r="A17" s="147" t="s">
        <v>285</v>
      </c>
      <c r="B17" s="148"/>
    </row>
    <row r="18" spans="1:4">
      <c r="A18" s="60" t="s">
        <v>287</v>
      </c>
      <c r="B18" s="55" t="s">
        <v>286</v>
      </c>
      <c r="C18" s="81" t="s">
        <v>294</v>
      </c>
      <c r="D18" s="81" t="s">
        <v>295</v>
      </c>
    </row>
    <row r="19" spans="1:4">
      <c r="A19" s="45" t="s">
        <v>244</v>
      </c>
      <c r="B19" s="132" t="s">
        <v>272</v>
      </c>
      <c r="C19" s="81" t="s">
        <v>298</v>
      </c>
      <c r="D19" s="81" t="s">
        <v>298</v>
      </c>
    </row>
    <row r="20" spans="1:4">
      <c r="A20" s="45" t="s">
        <v>245</v>
      </c>
      <c r="B20" s="133"/>
      <c r="C20" s="81" t="s">
        <v>298</v>
      </c>
      <c r="D20" s="81" t="s">
        <v>298</v>
      </c>
    </row>
    <row r="21" spans="1:4">
      <c r="A21" s="45" t="s">
        <v>246</v>
      </c>
      <c r="B21" s="133"/>
      <c r="C21" s="81" t="s">
        <v>298</v>
      </c>
      <c r="D21" s="81" t="s">
        <v>298</v>
      </c>
    </row>
    <row r="22" spans="1:4">
      <c r="A22" s="45" t="s">
        <v>247</v>
      </c>
      <c r="B22" s="133"/>
      <c r="C22" s="81" t="s">
        <v>298</v>
      </c>
      <c r="D22" s="81" t="s">
        <v>298</v>
      </c>
    </row>
    <row r="23" spans="1:4">
      <c r="A23" s="45" t="s">
        <v>248</v>
      </c>
      <c r="B23" s="133"/>
      <c r="C23" s="81" t="s">
        <v>298</v>
      </c>
      <c r="D23" s="81" t="s">
        <v>298</v>
      </c>
    </row>
    <row r="24" spans="1:4">
      <c r="A24" s="45" t="s">
        <v>249</v>
      </c>
      <c r="B24" s="133"/>
      <c r="C24" s="81" t="s">
        <v>298</v>
      </c>
      <c r="D24" s="81" t="s">
        <v>298</v>
      </c>
    </row>
    <row r="25" spans="1:4">
      <c r="A25" s="45" t="s">
        <v>250</v>
      </c>
      <c r="B25" s="133"/>
      <c r="C25" s="81" t="s">
        <v>298</v>
      </c>
      <c r="D25" s="81" t="s">
        <v>298</v>
      </c>
    </row>
    <row r="26" spans="1:4">
      <c r="A26" s="45" t="s">
        <v>251</v>
      </c>
      <c r="B26" s="133"/>
      <c r="C26" s="81" t="s">
        <v>298</v>
      </c>
      <c r="D26" s="81" t="s">
        <v>298</v>
      </c>
    </row>
    <row r="27" spans="1:4">
      <c r="A27" s="45" t="s">
        <v>252</v>
      </c>
      <c r="B27" s="133"/>
      <c r="C27" s="81" t="s">
        <v>298</v>
      </c>
      <c r="D27" s="81" t="s">
        <v>298</v>
      </c>
    </row>
    <row r="28" spans="1:4">
      <c r="A28" s="45" t="s">
        <v>253</v>
      </c>
      <c r="B28" s="134"/>
      <c r="C28" s="81" t="s">
        <v>298</v>
      </c>
      <c r="D28" s="81" t="s">
        <v>298</v>
      </c>
    </row>
  </sheetData>
  <mergeCells count="4">
    <mergeCell ref="A3:B3"/>
    <mergeCell ref="A10:B10"/>
    <mergeCell ref="A17:B17"/>
    <mergeCell ref="B19:B2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6</vt:i4>
      </vt:variant>
    </vt:vector>
  </HeadingPairs>
  <TitlesOfParts>
    <vt:vector size="19" baseType="lpstr">
      <vt:lpstr>Productos</vt:lpstr>
      <vt:lpstr> Entradas</vt:lpstr>
      <vt:lpstr>Salidas</vt:lpstr>
      <vt:lpstr>Categorias</vt:lpstr>
      <vt:lpstr>CLIENTES</vt:lpstr>
      <vt:lpstr>VENDEDOR</vt:lpstr>
      <vt:lpstr>COTIZACION</vt:lpstr>
      <vt:lpstr>Tabla sin normalizar </vt:lpstr>
      <vt:lpstr>1 FN</vt:lpstr>
      <vt:lpstr>2 FN</vt:lpstr>
      <vt:lpstr>3FN_</vt:lpstr>
      <vt:lpstr>MR</vt:lpstr>
      <vt:lpstr>ID-NOID.</vt:lpstr>
      <vt:lpstr>IDCLIENTES</vt:lpstr>
      <vt:lpstr>IDPRODUCTO</vt:lpstr>
      <vt:lpstr>IDVENDEDOR</vt:lpstr>
      <vt:lpstr>TABLACLIENTES</vt:lpstr>
      <vt:lpstr>TABLAPRODUCTO</vt:lpstr>
      <vt:lpstr>TABLAVENDEDOR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Paula Alejandra Cuellar Rodriguez</cp:lastModifiedBy>
  <cp:lastPrinted>2021-04-18T20:47:58Z</cp:lastPrinted>
  <dcterms:created xsi:type="dcterms:W3CDTF">2021-04-15T00:37:30Z</dcterms:created>
  <dcterms:modified xsi:type="dcterms:W3CDTF">2021-06-28T19:21:10Z</dcterms:modified>
</cp:coreProperties>
</file>